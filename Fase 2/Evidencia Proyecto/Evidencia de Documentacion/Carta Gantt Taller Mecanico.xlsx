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D17870EE-6B7E-405F-8D70-AF8110B289C0}" xr6:coauthVersionLast="47" xr6:coauthVersionMax="47" xr10:uidLastSave="{00000000-0000-0000-0000-000000000000}"/>
  <bookViews>
    <workbookView xWindow="-120" yWindow="-120" windowWidth="29040" windowHeight="15720" xr2:uid="{00000000-000D-0000-FFFF-FFFF00000000}"/>
  </bookViews>
  <sheets>
    <sheet name="CartaGantt" sheetId="11" r:id="rId1"/>
  </sheets>
  <definedNames>
    <definedName name="hoy" localSheetId="0">TODAY()</definedName>
    <definedName name="Inicio_del_proyecto">CartaGantt!$E$3</definedName>
    <definedName name="Semana_para_mostrar">CartaGantt!$E$4</definedName>
    <definedName name="task_end" localSheetId="0">CartaGantt!$F1</definedName>
    <definedName name="task_progress" localSheetId="0">CartaGantt!$D1</definedName>
    <definedName name="task_start" localSheetId="0">CartaGantt!$E1</definedName>
    <definedName name="_xlnm.Print_Titles" localSheetId="0">CartaGantt!$4:$6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11" l="1"/>
  <c r="F19" i="11"/>
  <c r="F17" i="11"/>
  <c r="F16" i="11"/>
  <c r="F15" i="11"/>
  <c r="F14" i="11"/>
  <c r="E14" i="11"/>
  <c r="E15" i="11"/>
  <c r="F9" i="11"/>
  <c r="E12" i="11"/>
  <c r="F10" i="11"/>
  <c r="E11" i="11" s="1"/>
  <c r="F11" i="11" s="1"/>
  <c r="E10" i="11"/>
  <c r="E9" i="11"/>
  <c r="F12" i="11" l="1"/>
  <c r="H7" i="11"/>
  <c r="E16" i="11" l="1"/>
  <c r="I5" i="11"/>
  <c r="I4" i="11" s="1"/>
  <c r="H62" i="11"/>
  <c r="H61" i="11"/>
  <c r="H54" i="11"/>
  <c r="H8" i="11"/>
  <c r="H9" i="11" l="1"/>
  <c r="I6" i="11"/>
  <c r="E17" i="11" l="1"/>
  <c r="H53" i="11"/>
  <c r="H14" i="11"/>
  <c r="J5" i="11"/>
  <c r="K5" i="11" s="1"/>
  <c r="L5" i="11" s="1"/>
  <c r="M5" i="11" s="1"/>
  <c r="N5" i="11" s="1"/>
  <c r="O5" i="11" s="1"/>
  <c r="P5" i="11" s="1"/>
  <c r="E19" i="11" l="1"/>
  <c r="E20" i="11" s="1"/>
  <c r="H17" i="11"/>
  <c r="H15" i="11"/>
  <c r="H16" i="11"/>
  <c r="P4" i="11"/>
  <c r="Q5" i="11"/>
  <c r="R5" i="11" s="1"/>
  <c r="S5" i="11" s="1"/>
  <c r="T5" i="11" s="1"/>
  <c r="U5" i="11" s="1"/>
  <c r="V5" i="11" s="1"/>
  <c r="W5" i="11" s="1"/>
  <c r="J6" i="11"/>
  <c r="F20" i="11" l="1"/>
  <c r="H20" i="11" s="1"/>
  <c r="W4" i="11"/>
  <c r="X5" i="11"/>
  <c r="Y5" i="11" s="1"/>
  <c r="Z5" i="11" s="1"/>
  <c r="AA5" i="11" s="1"/>
  <c r="AB5" i="11" s="1"/>
  <c r="AC5" i="11" s="1"/>
  <c r="AD5" i="11" s="1"/>
  <c r="K6" i="11"/>
  <c r="E21" i="11" l="1"/>
  <c r="AE5" i="11"/>
  <c r="AF5" i="11" s="1"/>
  <c r="AG5" i="11" s="1"/>
  <c r="AH5" i="11" s="1"/>
  <c r="AI5" i="11" s="1"/>
  <c r="AJ5" i="11" s="1"/>
  <c r="AD4" i="11"/>
  <c r="L6" i="11"/>
  <c r="F21" i="11" l="1"/>
  <c r="E22" i="11" s="1"/>
  <c r="H21" i="11"/>
  <c r="AK5" i="11"/>
  <c r="AL5" i="11" s="1"/>
  <c r="AM5" i="11" s="1"/>
  <c r="AN5" i="11" s="1"/>
  <c r="AO5" i="11" s="1"/>
  <c r="AP5" i="11" s="1"/>
  <c r="AQ5" i="11" s="1"/>
  <c r="M6" i="11"/>
  <c r="F22" i="11" l="1"/>
  <c r="E23" i="11" s="1"/>
  <c r="H22" i="11"/>
  <c r="H37" i="11"/>
  <c r="H50" i="11"/>
  <c r="AR5" i="11"/>
  <c r="AS5" i="11" s="1"/>
  <c r="AK4" i="11"/>
  <c r="N6" i="11"/>
  <c r="F23" i="11" l="1"/>
  <c r="E24" i="11" s="1"/>
  <c r="H23" i="11"/>
  <c r="AT5" i="11"/>
  <c r="AS6" i="11"/>
  <c r="AR4" i="11"/>
  <c r="O6" i="11"/>
  <c r="E25" i="11" l="1"/>
  <c r="H52" i="11"/>
  <c r="H59" i="11"/>
  <c r="AU5" i="11"/>
  <c r="AT6" i="11"/>
  <c r="H24" i="11" l="1"/>
  <c r="F25" i="11"/>
  <c r="E26" i="11" s="1"/>
  <c r="F26" i="11" s="1"/>
  <c r="H25" i="11"/>
  <c r="H60" i="11"/>
  <c r="AV5" i="11"/>
  <c r="AU6" i="11"/>
  <c r="P6" i="11"/>
  <c r="Q6" i="11"/>
  <c r="H26" i="11" l="1"/>
  <c r="E27" i="11"/>
  <c r="AW5" i="11"/>
  <c r="AV6" i="11"/>
  <c r="R6" i="11"/>
  <c r="F27" i="11" l="1"/>
  <c r="E28" i="11" s="1"/>
  <c r="F28" i="11" s="1"/>
  <c r="E29" i="11" s="1"/>
  <c r="F29" i="11" s="1"/>
  <c r="E30" i="11" s="1"/>
  <c r="F30" i="11" s="1"/>
  <c r="E31" i="11" s="1"/>
  <c r="F31" i="11" s="1"/>
  <c r="E32" i="11" s="1"/>
  <c r="F32" i="11" s="1"/>
  <c r="E33" i="11" s="1"/>
  <c r="F33" i="11" s="1"/>
  <c r="E34" i="11" s="1"/>
  <c r="H27" i="11"/>
  <c r="AX5" i="11"/>
  <c r="AY5" i="11" s="1"/>
  <c r="AW6" i="11"/>
  <c r="F34" i="11" l="1"/>
  <c r="E35" i="11" s="1"/>
  <c r="AZ5" i="11"/>
  <c r="AY4" i="11"/>
  <c r="S6" i="11" s="1"/>
  <c r="AX6" i="11"/>
  <c r="T6" i="11"/>
  <c r="H34" i="11" l="1"/>
  <c r="F35" i="11"/>
  <c r="E36" i="11" s="1"/>
  <c r="F36" i="11" s="1"/>
  <c r="E38" i="11" s="1"/>
  <c r="F38" i="11" s="1"/>
  <c r="E39" i="11" s="1"/>
  <c r="F39" i="11" s="1"/>
  <c r="E40" i="11" s="1"/>
  <c r="F40" i="11" s="1"/>
  <c r="AY6" i="11"/>
  <c r="BA5" i="11"/>
  <c r="AZ6" i="11"/>
  <c r="U6" i="11"/>
  <c r="H35" i="11" l="1"/>
  <c r="BA6" i="11"/>
  <c r="BB5" i="11"/>
  <c r="V6" i="11"/>
  <c r="BB6" i="11" l="1"/>
  <c r="BC5" i="11"/>
  <c r="W6" i="11"/>
  <c r="BC6" i="11" l="1"/>
  <c r="BD5" i="11"/>
  <c r="X6" i="11"/>
  <c r="BE5" i="11" l="1"/>
  <c r="BD6" i="11"/>
  <c r="Y6" i="11"/>
  <c r="BE6" i="11" l="1"/>
  <c r="BF5" i="11"/>
  <c r="BF6" i="11" l="1"/>
  <c r="BG5" i="11"/>
  <c r="BF4" i="11"/>
  <c r="Z6" i="11" s="1"/>
  <c r="AA6" i="11"/>
  <c r="BG6" i="11" l="1"/>
  <c r="BH5" i="11"/>
  <c r="AB6" i="11"/>
  <c r="BI5" i="11" l="1"/>
  <c r="BH6" i="11"/>
  <c r="AC6" i="11"/>
  <c r="BJ5" i="11" l="1"/>
  <c r="BK5" i="11" s="1"/>
  <c r="BI6" i="11"/>
  <c r="AD6" i="11"/>
  <c r="BK4" i="11" l="1"/>
  <c r="BL5" i="11"/>
  <c r="BK6" i="11"/>
  <c r="BJ6" i="11"/>
  <c r="AE6" i="11"/>
  <c r="BM5" i="11" l="1"/>
  <c r="BL6" i="11"/>
  <c r="AF6" i="11"/>
  <c r="BM6" i="11" l="1"/>
  <c r="BN5" i="11"/>
  <c r="AG6" i="11"/>
  <c r="BN6" i="11" l="1"/>
  <c r="BO5" i="11"/>
  <c r="AH6" i="11"/>
  <c r="BO6" i="11" l="1"/>
  <c r="BP5" i="11"/>
  <c r="AI6" i="11"/>
  <c r="BP4" i="11" l="1"/>
  <c r="BP6" i="11"/>
  <c r="BQ5" i="11"/>
  <c r="AJ6" i="11"/>
  <c r="BQ6" i="11" l="1"/>
  <c r="BR5" i="11"/>
  <c r="AK6" i="11"/>
  <c r="BR6" i="11" l="1"/>
  <c r="BS5" i="11"/>
  <c r="AL6" i="11"/>
  <c r="BS6" i="11" l="1"/>
  <c r="BT5" i="11"/>
  <c r="AM6" i="11"/>
  <c r="BT6" i="11" l="1"/>
  <c r="BU5" i="11"/>
  <c r="AN6" i="11"/>
  <c r="BV5" i="11" l="1"/>
  <c r="BU4" i="11"/>
  <c r="BU6" i="11"/>
  <c r="AO6" i="11"/>
  <c r="BW5" i="11" l="1"/>
  <c r="BV6" i="11"/>
  <c r="AP6" i="11"/>
  <c r="BX5" i="11" l="1"/>
  <c r="BW6" i="11"/>
  <c r="AQ6" i="11"/>
  <c r="BY5" i="11" l="1"/>
  <c r="BX6" i="11"/>
  <c r="AR6" i="11"/>
  <c r="BY6" i="11" l="1"/>
  <c r="BZ5" i="11"/>
  <c r="BZ4" i="11" l="1"/>
  <c r="CA5" i="11"/>
  <c r="BZ6" i="11"/>
  <c r="CA6" i="11" l="1"/>
  <c r="CB5" i="11"/>
  <c r="CC5" i="11" l="1"/>
  <c r="CB6" i="11"/>
  <c r="CC6" i="11" l="1"/>
  <c r="CD5" i="11"/>
  <c r="CD6" i="11" l="1"/>
  <c r="CE5" i="11"/>
  <c r="CE6" i="11" l="1"/>
  <c r="CE4" i="11"/>
  <c r="CF5" i="11"/>
  <c r="CF6" i="11" l="1"/>
  <c r="CG5" i="11"/>
  <c r="CG6" i="11" l="1"/>
  <c r="CH5" i="11"/>
  <c r="CH6" i="11" l="1"/>
  <c r="CI5" i="11"/>
  <c r="CI6" i="11" l="1"/>
  <c r="CJ5" i="11"/>
  <c r="CJ4" i="11" l="1"/>
  <c r="CK5" i="11"/>
  <c r="CJ6" i="11"/>
  <c r="CK6" i="11" l="1"/>
  <c r="CL5" i="11"/>
  <c r="CL6" i="11" l="1"/>
  <c r="CM5" i="11"/>
  <c r="CM6" i="11" l="1"/>
  <c r="CN5" i="11"/>
  <c r="CN6" i="11" l="1"/>
  <c r="CO5" i="11"/>
  <c r="CO4" i="11" l="1"/>
  <c r="CO6" i="11"/>
  <c r="CP5" i="11"/>
  <c r="CQ5" i="11" l="1"/>
  <c r="CP6" i="11"/>
  <c r="CQ6" i="11" l="1"/>
  <c r="CR5" i="11"/>
  <c r="CR6" i="11" l="1"/>
  <c r="CS5" i="11"/>
  <c r="CS6" i="11" s="1"/>
</calcChain>
</file>

<file path=xl/sharedStrings.xml><?xml version="1.0" encoding="utf-8"?>
<sst xmlns="http://schemas.openxmlformats.org/spreadsheetml/2006/main" count="92" uniqueCount="62">
  <si>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</si>
  <si>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</si>
  <si>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</si>
  <si>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</si>
  <si>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</si>
  <si>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</si>
  <si>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</si>
  <si>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</si>
  <si>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</si>
  <si>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</si>
  <si>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</si>
  <si>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</si>
  <si>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</si>
  <si>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</si>
  <si>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TAREA</t>
  </si>
  <si>
    <t>Inserte nuevas filas ENCIMA de ésta</t>
  </si>
  <si>
    <t>Inicio del proyecto:</t>
  </si>
  <si>
    <t>Semana para mostrar:</t>
  </si>
  <si>
    <t>ASIGNADO
A</t>
  </si>
  <si>
    <t>PROGRESO</t>
  </si>
  <si>
    <t>INICIO</t>
  </si>
  <si>
    <t>FIN</t>
  </si>
  <si>
    <t>DÍAS</t>
  </si>
  <si>
    <t>GRÁFICO GANTT SIMPLE de Vertex42.com</t>
  </si>
  <si>
    <t>https://www.vertex42.com/ExcelTemplates/simple-gantt-chart.html</t>
  </si>
  <si>
    <t>Planificación y Diseño</t>
  </si>
  <si>
    <t>Cierre Proyecto</t>
  </si>
  <si>
    <t>PROYECTO Digitalización Taller Mecánico (ATP)</t>
  </si>
  <si>
    <t>PepsiCo</t>
  </si>
  <si>
    <t>Team</t>
  </si>
  <si>
    <t>Desarrollo (Sprints)</t>
  </si>
  <si>
    <t>Gestion de Proyecto</t>
  </si>
  <si>
    <t>Felipe C.</t>
  </si>
  <si>
    <t>Equipo APT</t>
  </si>
  <si>
    <t>Carlos B.</t>
  </si>
  <si>
    <t>Definir Matriz RACI y Riesgos</t>
  </si>
  <si>
    <t>Elaborar Carta Gantt</t>
  </si>
  <si>
    <t>Elaborar EDT y Diccionario</t>
  </si>
  <si>
    <t>Elaborar Acta de Constitución</t>
  </si>
  <si>
    <t xml:space="preserve"> Elaborar ERS (Requerimientos)</t>
  </si>
  <si>
    <t xml:space="preserve"> Diseñar Arquitectura y Base de Datos</t>
  </si>
  <si>
    <t>Diseñar UI/UX (Mockups y Prototipos)</t>
  </si>
  <si>
    <t>Elaborar Plan de Pruebas</t>
  </si>
  <si>
    <t> Sprint 1: El Núcleo del Sistema</t>
  </si>
  <si>
    <t>BE: Módulo de Usuarios y Roles</t>
  </si>
  <si>
    <t>BE: Módulo de Órdenes de Trabajo (OT)</t>
  </si>
  <si>
    <t xml:space="preserve"> FE: Vistas de Login y OTs</t>
  </si>
  <si>
    <t xml:space="preserve"> Integración y Pruebas del Sprint</t>
  </si>
  <si>
    <t>Sprint 2: El Flujo de Entrada</t>
  </si>
  <si>
    <t xml:space="preserve"> BE: Módulo de Agendamiento y Notificaciones</t>
  </si>
  <si>
    <t>BE: Módulo de Control de Acceso (Guardia)</t>
  </si>
  <si>
    <t>FE: Vistas de Agendamiento y Guardia</t>
  </si>
  <si>
    <t>Integración y Pruebas del Sprint</t>
  </si>
  <si>
    <t>Sprint 3: La Ejecución del Trabajo</t>
  </si>
  <si>
    <t>BE: Desarrollar lógica del servidor para Interfaz del Mecánico</t>
  </si>
  <si>
    <t xml:space="preserve"> FE: Interfaz del Mecánico (Repuestos y Fotos)</t>
  </si>
  <si>
    <t>Sprint 4: Cierre y Visualización</t>
  </si>
  <si>
    <t>BE: Desarrollar lógica del servidor para Salida y Reportes</t>
  </si>
  <si>
    <t>FE: Interfaz de Salida (Guardia) y Reportes</t>
  </si>
  <si>
    <t>Despliegue Final y Pruebas Finales</t>
  </si>
  <si>
    <t xml:space="preserve"> Elaborar Documentación Final</t>
  </si>
  <si>
    <t xml:space="preserve"> Redactar Acta de Cierre de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</si>
</sst>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DBE5F1"/>
        <bgColor indexed="64"/>
      </patternFill>
    </fill>
    <fill>
      <patternFill patternType="solid">
        <fgColor rgb="FFCCC0D9"/>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rgb="FFD8D8D8"/>
      </top>
      <bottom style="thick">
        <color rgb="FFD8D8D8"/>
      </bottom>
      <diagonal/>
    </border>
    <border>
      <left/>
      <right/>
      <top/>
      <bottom style="thick">
        <color rgb="FFD8D8D8"/>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70"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0" fillId="0" borderId="0" applyNumberFormat="0" applyFill="0" applyBorder="0" applyAlignment="0" applyProtection="0"/>
    <xf numFmtId="0" fontId="21" fillId="6" borderId="0" applyNumberFormat="0" applyBorder="0" applyAlignment="0" applyProtection="0"/>
    <xf numFmtId="0" fontId="22" fillId="7" borderId="0" applyNumberFormat="0" applyBorder="0" applyAlignment="0" applyProtection="0"/>
    <xf numFmtId="0" fontId="23" fillId="8" borderId="0" applyNumberFormat="0" applyBorder="0" applyAlignment="0" applyProtection="0"/>
    <xf numFmtId="0" fontId="24" fillId="9" borderId="11" applyNumberFormat="0" applyAlignment="0" applyProtection="0"/>
    <xf numFmtId="0" fontId="25" fillId="10" borderId="12" applyNumberFormat="0" applyAlignment="0" applyProtection="0"/>
    <xf numFmtId="0" fontId="26" fillId="10" borderId="11" applyNumberFormat="0" applyAlignment="0" applyProtection="0"/>
    <xf numFmtId="0" fontId="27" fillId="0" borderId="13" applyNumberFormat="0" applyFill="0" applyAlignment="0" applyProtection="0"/>
    <xf numFmtId="0" fontId="28" fillId="11" borderId="14" applyNumberFormat="0" applyAlignment="0" applyProtection="0"/>
    <xf numFmtId="0" fontId="29" fillId="0" borderId="0" applyNumberFormat="0" applyFill="0" applyBorder="0" applyAlignment="0" applyProtection="0"/>
    <xf numFmtId="0" fontId="9" fillId="12"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16"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16"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6"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6"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6"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cellStyleXfs>
  <cellXfs count="8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5" borderId="1" xfId="0" applyFont="1" applyFill="1" applyBorder="1" applyAlignment="1">
      <alignment horizontal="left" vertical="center" indent="1"/>
    </xf>
    <xf numFmtId="0" fontId="7" fillId="5" borderId="1" xfId="0" applyFont="1" applyFill="1" applyBorder="1" applyAlignment="1">
      <alignment horizontal="center" vertical="center" wrapText="1"/>
    </xf>
    <xf numFmtId="0" fontId="12" fillId="4"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0" borderId="2" xfId="11">
      <alignment horizontal="center" vertical="center"/>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70" fontId="4" fillId="2" borderId="2" xfId="0" applyNumberFormat="1" applyFont="1" applyFill="1" applyBorder="1" applyAlignment="1">
      <alignment horizontal="left" vertical="center"/>
    </xf>
    <xf numFmtId="170" fontId="5" fillId="2" borderId="2" xfId="0" applyNumberFormat="1" applyFont="1" applyFill="1" applyBorder="1" applyAlignment="1">
      <alignment horizontal="center" vertical="center"/>
    </xf>
    <xf numFmtId="171" fontId="11" fillId="3" borderId="6" xfId="0" applyNumberFormat="1" applyFont="1" applyFill="1" applyBorder="1" applyAlignment="1">
      <alignment horizontal="center" vertical="center"/>
    </xf>
    <xf numFmtId="171" fontId="11" fillId="3" borderId="0" xfId="0" applyNumberFormat="1" applyFont="1" applyFill="1" applyAlignment="1">
      <alignment horizontal="center" vertical="center"/>
    </xf>
    <xf numFmtId="171" fontId="11" fillId="3" borderId="7" xfId="0" applyNumberFormat="1" applyFont="1" applyFill="1" applyBorder="1" applyAlignment="1">
      <alignment horizontal="center" vertical="center"/>
    </xf>
    <xf numFmtId="170" fontId="9" fillId="0" borderId="2" xfId="10">
      <alignment horizontal="center" vertical="center"/>
    </xf>
    <xf numFmtId="0" fontId="0" fillId="37" borderId="17" xfId="0" applyFill="1" applyBorder="1" applyAlignment="1">
      <alignment vertical="center" wrapText="1"/>
    </xf>
    <xf numFmtId="0" fontId="6" fillId="37" borderId="17" xfId="0" applyFont="1" applyFill="1" applyBorder="1" applyAlignment="1">
      <alignment vertical="center" wrapText="1"/>
    </xf>
    <xf numFmtId="0" fontId="0" fillId="38" borderId="18" xfId="0" applyFill="1" applyBorder="1" applyAlignment="1">
      <alignment vertical="center" wrapText="1"/>
    </xf>
    <xf numFmtId="0" fontId="0" fillId="38" borderId="18" xfId="0" applyFill="1" applyBorder="1" applyAlignment="1">
      <alignment horizontal="center" vertical="center" wrapText="1"/>
    </xf>
    <xf numFmtId="9" fontId="0" fillId="38" borderId="18" xfId="0" applyNumberFormat="1" applyFill="1" applyBorder="1" applyAlignment="1">
      <alignment horizontal="center" vertical="center" wrapText="1"/>
    </xf>
    <xf numFmtId="14" fontId="0" fillId="38" borderId="18" xfId="0" applyNumberFormat="1" applyFill="1" applyBorder="1" applyAlignment="1">
      <alignment horizontal="center" vertical="center" wrapText="1"/>
    </xf>
    <xf numFmtId="0" fontId="0" fillId="39" borderId="18" xfId="0" applyFill="1" applyBorder="1" applyAlignment="1">
      <alignment vertical="center" wrapText="1"/>
    </xf>
    <xf numFmtId="0" fontId="6" fillId="39" borderId="18" xfId="0" applyFont="1" applyFill="1" applyBorder="1" applyAlignment="1">
      <alignment vertical="center" wrapText="1"/>
    </xf>
    <xf numFmtId="0" fontId="0" fillId="39" borderId="18" xfId="0" applyFill="1" applyBorder="1" applyAlignment="1">
      <alignment horizontal="center" vertical="center" wrapText="1"/>
    </xf>
    <xf numFmtId="169" fontId="0" fillId="3" borderId="4" xfId="0" applyNumberFormat="1" applyFill="1" applyBorder="1" applyAlignment="1">
      <alignment horizontal="left" vertical="center" wrapText="1" indent="1"/>
    </xf>
    <xf numFmtId="169" fontId="0" fillId="3" borderId="1" xfId="0" applyNumberForma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xf numFmtId="169" fontId="0" fillId="3" borderId="5" xfId="0" applyNumberFormat="1" applyFill="1" applyBorder="1" applyAlignment="1">
      <alignment horizontal="left" vertical="center" wrapText="1" indent="1"/>
    </xf>
    <xf numFmtId="168" fontId="9" fillId="0" borderId="3" xfId="9">
      <alignment horizontal="center" vertical="center"/>
    </xf>
    <xf numFmtId="0" fontId="0" fillId="40" borderId="18" xfId="0" applyFill="1" applyBorder="1" applyAlignment="1">
      <alignment vertical="center" wrapText="1"/>
    </xf>
    <xf numFmtId="0" fontId="0" fillId="40" borderId="18" xfId="0" applyFill="1" applyBorder="1" applyAlignment="1">
      <alignment horizontal="center" vertical="center" wrapText="1"/>
    </xf>
    <xf numFmtId="9" fontId="0" fillId="40" borderId="18" xfId="0" applyNumberFormat="1" applyFill="1" applyBorder="1" applyAlignment="1">
      <alignment horizontal="center" vertical="center" wrapText="1"/>
    </xf>
    <xf numFmtId="14" fontId="0" fillId="40" borderId="18" xfId="0" applyNumberFormat="1" applyFill="1" applyBorder="1" applyAlignment="1">
      <alignment horizontal="center" vertical="center" wrapText="1"/>
    </xf>
    <xf numFmtId="0" fontId="0" fillId="41" borderId="18" xfId="0" applyFill="1" applyBorder="1" applyAlignment="1">
      <alignment vertical="center" wrapText="1"/>
    </xf>
    <xf numFmtId="0" fontId="0" fillId="41" borderId="18" xfId="0" applyFill="1" applyBorder="1" applyAlignment="1">
      <alignment horizontal="center" vertical="center" wrapText="1"/>
    </xf>
    <xf numFmtId="9" fontId="0" fillId="41" borderId="18" xfId="0" applyNumberFormat="1" applyFill="1" applyBorder="1" applyAlignment="1">
      <alignment horizontal="center" vertical="center" wrapText="1"/>
    </xf>
    <xf numFmtId="14" fontId="0" fillId="41" borderId="18" xfId="0" applyNumberFormat="1" applyFill="1" applyBorder="1" applyAlignment="1">
      <alignment horizontal="center" vertical="center" wrapText="1"/>
    </xf>
    <xf numFmtId="14" fontId="0" fillId="41" borderId="18" xfId="0" applyNumberFormat="1" applyFill="1" applyBorder="1" applyAlignment="1">
      <alignment vertical="center" wrapText="1"/>
    </xf>
    <xf numFmtId="0" fontId="6" fillId="42" borderId="18" xfId="0" applyFont="1" applyFill="1" applyBorder="1" applyAlignment="1">
      <alignment vertical="center" wrapText="1"/>
    </xf>
    <xf numFmtId="0" fontId="0" fillId="42" borderId="18" xfId="0" applyFill="1" applyBorder="1" applyAlignment="1">
      <alignment horizontal="center" vertical="center" wrapText="1"/>
    </xf>
    <xf numFmtId="0" fontId="0" fillId="42" borderId="18" xfId="0" applyFill="1" applyBorder="1" applyAlignment="1">
      <alignment vertical="center" wrapText="1"/>
    </xf>
    <xf numFmtId="0" fontId="0" fillId="43" borderId="18" xfId="0" applyFill="1" applyBorder="1" applyAlignment="1">
      <alignment vertical="center" wrapText="1"/>
    </xf>
    <xf numFmtId="0" fontId="0" fillId="43" borderId="18" xfId="0" applyFill="1" applyBorder="1" applyAlignment="1">
      <alignment horizontal="center" vertical="center" wrapText="1"/>
    </xf>
    <xf numFmtId="9" fontId="0" fillId="43" borderId="18" xfId="0" applyNumberFormat="1" applyFill="1" applyBorder="1" applyAlignment="1">
      <alignment horizontal="center" vertical="center" wrapText="1"/>
    </xf>
    <xf numFmtId="14" fontId="0" fillId="43" borderId="18" xfId="0" applyNumberFormat="1" applyFill="1" applyBorder="1" applyAlignment="1">
      <alignment horizontal="center" vertical="center" wrapText="1"/>
    </xf>
    <xf numFmtId="0" fontId="0" fillId="44" borderId="18" xfId="0" applyFill="1" applyBorder="1" applyAlignment="1">
      <alignment horizontal="center" vertical="center" wrapText="1"/>
    </xf>
    <xf numFmtId="0" fontId="0" fillId="44" borderId="18" xfId="0" applyFill="1" applyBorder="1" applyAlignment="1">
      <alignment vertical="center" wrapText="1"/>
    </xf>
    <xf numFmtId="9" fontId="0" fillId="44" borderId="18" xfId="0" applyNumberFormat="1" applyFill="1" applyBorder="1" applyAlignment="1">
      <alignment horizontal="center" vertical="center" wrapText="1"/>
    </xf>
    <xf numFmtId="14" fontId="0" fillId="44" borderId="18" xfId="0" applyNumberFormat="1" applyFill="1" applyBorder="1" applyAlignment="1">
      <alignment horizontal="center" vertical="center" wrapText="1"/>
    </xf>
    <xf numFmtId="0" fontId="0" fillId="41" borderId="18" xfId="0" applyFont="1" applyFill="1" applyBorder="1" applyAlignment="1">
      <alignment vertical="center" wrapText="1"/>
    </xf>
    <xf numFmtId="0" fontId="0" fillId="45" borderId="18" xfId="0" applyFill="1" applyBorder="1" applyAlignment="1">
      <alignment vertical="center" wrapText="1"/>
    </xf>
    <xf numFmtId="0" fontId="0" fillId="45" borderId="18" xfId="0" applyFill="1" applyBorder="1" applyAlignment="1">
      <alignment horizontal="center" vertical="center" wrapText="1"/>
    </xf>
    <xf numFmtId="9" fontId="0" fillId="45" borderId="18" xfId="0" applyNumberFormat="1" applyFill="1" applyBorder="1" applyAlignment="1">
      <alignment horizontal="center" vertical="center" wrapText="1"/>
    </xf>
    <xf numFmtId="14" fontId="0" fillId="45" borderId="18" xfId="0" applyNumberFormat="1" applyFill="1" applyBorder="1" applyAlignment="1">
      <alignment horizontal="center" vertical="center" wrapText="1"/>
    </xf>
    <xf numFmtId="0" fontId="6" fillId="45" borderId="18" xfId="0" applyFont="1" applyFill="1" applyBorder="1" applyAlignment="1">
      <alignment vertical="center" wrapText="1"/>
    </xf>
    <xf numFmtId="0" fontId="0" fillId="44" borderId="18" xfId="0" applyFont="1" applyFill="1" applyBorder="1" applyAlignment="1">
      <alignment vertical="center" wrapText="1"/>
    </xf>
    <xf numFmtId="14" fontId="0" fillId="44" borderId="18" xfId="0" applyNumberFormat="1" applyFill="1" applyBorder="1" applyAlignment="1">
      <alignment vertical="center" wrapTex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4">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secondRowStripe" dxfId="7"/>
      <tableStyleElement type="firstColumnStripe" dxfId="6"/>
      <tableStyleElement type="second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S65"/>
  <sheetViews>
    <sheetView showGridLines="0" tabSelected="1" showRuler="0" zoomScale="80" zoomScaleNormal="80" zoomScalePageLayoutView="70" workbookViewId="0">
      <pane ySplit="6" topLeftCell="A8" activePane="bottomLeft" state="frozen"/>
      <selection pane="bottomLeft" activeCell="C21" sqref="C21"/>
    </sheetView>
  </sheetViews>
  <sheetFormatPr baseColWidth="10" defaultColWidth="9.140625" defaultRowHeight="30" customHeight="1" x14ac:dyDescent="0.25"/>
  <cols>
    <col min="1" max="1" width="2.7109375" style="23" customWidth="1"/>
    <col min="2" max="2" width="34.28515625" customWidth="1"/>
    <col min="3" max="3" width="30.7109375" customWidth="1"/>
    <col min="4" max="4" width="12.140625" customWidth="1"/>
    <col min="5" max="5" width="10.85546875" style="5" customWidth="1"/>
    <col min="6" max="6" width="11.5703125" customWidth="1"/>
    <col min="7" max="7" width="2.7109375" customWidth="1"/>
    <col min="8" max="8" width="23.5703125" hidden="1" customWidth="1"/>
    <col min="9" max="9" width="5.5703125" customWidth="1"/>
    <col min="10" max="21" width="3.28515625" customWidth="1"/>
    <col min="22" max="22" width="6.28515625" customWidth="1"/>
    <col min="23" max="28" width="3.28515625" customWidth="1"/>
    <col min="29" max="29" width="9.28515625" customWidth="1"/>
    <col min="30" max="35" width="3.28515625" customWidth="1"/>
    <col min="36" max="36" width="7.140625" customWidth="1"/>
    <col min="37" max="42" width="3.28515625" customWidth="1"/>
    <col min="43" max="43" width="8.85546875" customWidth="1"/>
    <col min="44" max="57" width="3.28515625" customWidth="1"/>
    <col min="58" max="97" width="5" customWidth="1"/>
  </cols>
  <sheetData>
    <row r="1" spans="1:97" ht="30" customHeight="1" x14ac:dyDescent="0.45">
      <c r="A1" s="24" t="s">
        <v>0</v>
      </c>
      <c r="B1" s="27" t="s">
        <v>27</v>
      </c>
      <c r="C1" s="1"/>
      <c r="D1" s="2"/>
      <c r="E1" s="4"/>
      <c r="F1" s="22"/>
      <c r="H1" s="2"/>
      <c r="I1" s="33" t="s">
        <v>23</v>
      </c>
    </row>
    <row r="2" spans="1:97" ht="30" customHeight="1" x14ac:dyDescent="0.3">
      <c r="A2" s="23" t="s">
        <v>1</v>
      </c>
      <c r="B2" s="28" t="s">
        <v>28</v>
      </c>
      <c r="I2" s="34" t="s">
        <v>24</v>
      </c>
    </row>
    <row r="3" spans="1:97" ht="30" customHeight="1" x14ac:dyDescent="0.25">
      <c r="A3" s="23" t="s">
        <v>2</v>
      </c>
      <c r="B3" s="29" t="s">
        <v>29</v>
      </c>
      <c r="C3" s="52" t="s">
        <v>16</v>
      </c>
      <c r="D3" s="53"/>
      <c r="E3" s="55">
        <v>45901</v>
      </c>
      <c r="F3" s="55"/>
    </row>
    <row r="4" spans="1:97" ht="30" customHeight="1" x14ac:dyDescent="0.25">
      <c r="A4" s="24" t="s">
        <v>3</v>
      </c>
      <c r="C4" s="52" t="s">
        <v>17</v>
      </c>
      <c r="D4" s="53"/>
      <c r="E4" s="7">
        <v>1</v>
      </c>
      <c r="I4" s="50">
        <f>I5</f>
        <v>45901</v>
      </c>
      <c r="J4" s="51"/>
      <c r="K4" s="51"/>
      <c r="L4" s="51"/>
      <c r="M4" s="51"/>
      <c r="N4" s="51"/>
      <c r="O4" s="54"/>
      <c r="P4" s="50">
        <f>P5</f>
        <v>45908</v>
      </c>
      <c r="Q4" s="51"/>
      <c r="R4" s="51"/>
      <c r="S4" s="51"/>
      <c r="T4" s="51"/>
      <c r="U4" s="51"/>
      <c r="V4" s="54"/>
      <c r="W4" s="50">
        <f>W5</f>
        <v>45915</v>
      </c>
      <c r="X4" s="51"/>
      <c r="Y4" s="51"/>
      <c r="Z4" s="51"/>
      <c r="AA4" s="51"/>
      <c r="AB4" s="51"/>
      <c r="AC4" s="54"/>
      <c r="AD4" s="50">
        <f>AD5</f>
        <v>45922</v>
      </c>
      <c r="AE4" s="51"/>
      <c r="AF4" s="51"/>
      <c r="AG4" s="51"/>
      <c r="AH4" s="51"/>
      <c r="AI4" s="51"/>
      <c r="AJ4" s="54"/>
      <c r="AK4" s="50">
        <f>AK5</f>
        <v>45929</v>
      </c>
      <c r="AL4" s="51"/>
      <c r="AM4" s="51"/>
      <c r="AN4" s="51"/>
      <c r="AO4" s="51"/>
      <c r="AP4" s="51"/>
      <c r="AQ4" s="54"/>
      <c r="AR4" s="50">
        <f>AR5</f>
        <v>45936</v>
      </c>
      <c r="AS4" s="51"/>
      <c r="AT4" s="51"/>
      <c r="AU4" s="51"/>
      <c r="AV4" s="51"/>
      <c r="AW4" s="51"/>
      <c r="AX4" s="54"/>
      <c r="AY4" s="50">
        <f>AY5</f>
        <v>45943</v>
      </c>
      <c r="AZ4" s="51"/>
      <c r="BA4" s="51"/>
      <c r="BB4" s="51"/>
      <c r="BC4" s="51"/>
      <c r="BD4" s="51"/>
      <c r="BE4" s="54"/>
      <c r="BF4" s="50">
        <f>BF5</f>
        <v>45950</v>
      </c>
      <c r="BG4" s="51"/>
      <c r="BH4" s="51"/>
      <c r="BI4" s="51"/>
      <c r="BJ4" s="51"/>
      <c r="BK4" s="50">
        <f t="shared" ref="BK4" si="0">BK5</f>
        <v>45955</v>
      </c>
      <c r="BL4" s="51"/>
      <c r="BM4" s="51"/>
      <c r="BN4" s="51"/>
      <c r="BO4" s="51"/>
      <c r="BP4" s="50">
        <f t="shared" ref="BP4" si="1">BP5</f>
        <v>45960</v>
      </c>
      <c r="BQ4" s="51"/>
      <c r="BR4" s="51"/>
      <c r="BS4" s="51"/>
      <c r="BT4" s="51"/>
      <c r="BU4" s="50">
        <f t="shared" ref="BU4" si="2">BU5</f>
        <v>45965</v>
      </c>
      <c r="BV4" s="51"/>
      <c r="BW4" s="51"/>
      <c r="BX4" s="51"/>
      <c r="BY4" s="51"/>
      <c r="BZ4" s="50">
        <f t="shared" ref="BZ4" si="3">BZ5</f>
        <v>45970</v>
      </c>
      <c r="CA4" s="51"/>
      <c r="CB4" s="51"/>
      <c r="CC4" s="51"/>
      <c r="CD4" s="51"/>
      <c r="CE4" s="50">
        <f t="shared" ref="CE4" si="4">CE5</f>
        <v>45975</v>
      </c>
      <c r="CF4" s="51"/>
      <c r="CG4" s="51"/>
      <c r="CH4" s="51"/>
      <c r="CI4" s="51"/>
      <c r="CJ4" s="50">
        <f>CJ5</f>
        <v>45980</v>
      </c>
      <c r="CK4" s="51"/>
      <c r="CL4" s="51"/>
      <c r="CM4" s="51"/>
      <c r="CN4" s="51"/>
      <c r="CO4" s="50">
        <f t="shared" ref="CO4" si="5">CO5</f>
        <v>45985</v>
      </c>
      <c r="CP4" s="51"/>
      <c r="CQ4" s="51"/>
      <c r="CR4" s="51"/>
      <c r="CS4" s="51"/>
    </row>
    <row r="5" spans="1:97" ht="15" customHeight="1" x14ac:dyDescent="0.25">
      <c r="A5" s="24" t="s">
        <v>4</v>
      </c>
      <c r="B5" s="32"/>
      <c r="C5" s="32"/>
      <c r="D5" s="32"/>
      <c r="E5" s="32"/>
      <c r="F5" s="32"/>
      <c r="G5" s="32"/>
      <c r="I5" s="37">
        <f>Inicio_del_proyecto-WEEKDAY(Inicio_del_proyecto,1)+2+7*(Semana_para_mostrar-1)</f>
        <v>45901</v>
      </c>
      <c r="J5" s="38">
        <f>I5+1</f>
        <v>45902</v>
      </c>
      <c r="K5" s="38">
        <f t="shared" ref="K5:AX5" si="6">J5+1</f>
        <v>45903</v>
      </c>
      <c r="L5" s="38">
        <f t="shared" si="6"/>
        <v>45904</v>
      </c>
      <c r="M5" s="38">
        <f t="shared" si="6"/>
        <v>45905</v>
      </c>
      <c r="N5" s="38">
        <f t="shared" si="6"/>
        <v>45906</v>
      </c>
      <c r="O5" s="39">
        <f t="shared" si="6"/>
        <v>45907</v>
      </c>
      <c r="P5" s="37">
        <f>O5+1</f>
        <v>45908</v>
      </c>
      <c r="Q5" s="38">
        <f>P5+1</f>
        <v>45909</v>
      </c>
      <c r="R5" s="38">
        <f t="shared" si="6"/>
        <v>45910</v>
      </c>
      <c r="S5" s="38">
        <f t="shared" si="6"/>
        <v>45911</v>
      </c>
      <c r="T5" s="38">
        <f t="shared" si="6"/>
        <v>45912</v>
      </c>
      <c r="U5" s="38">
        <f t="shared" si="6"/>
        <v>45913</v>
      </c>
      <c r="V5" s="39">
        <f t="shared" si="6"/>
        <v>45914</v>
      </c>
      <c r="W5" s="37">
        <f>V5+1</f>
        <v>45915</v>
      </c>
      <c r="X5" s="38">
        <f>W5+1</f>
        <v>45916</v>
      </c>
      <c r="Y5" s="38">
        <f t="shared" si="6"/>
        <v>45917</v>
      </c>
      <c r="Z5" s="38">
        <f t="shared" si="6"/>
        <v>45918</v>
      </c>
      <c r="AA5" s="38">
        <f t="shared" si="6"/>
        <v>45919</v>
      </c>
      <c r="AB5" s="38">
        <f t="shared" si="6"/>
        <v>45920</v>
      </c>
      <c r="AC5" s="39">
        <f t="shared" si="6"/>
        <v>45921</v>
      </c>
      <c r="AD5" s="37">
        <f>AC5+1</f>
        <v>45922</v>
      </c>
      <c r="AE5" s="38">
        <f>AD5+1</f>
        <v>45923</v>
      </c>
      <c r="AF5" s="38">
        <f t="shared" si="6"/>
        <v>45924</v>
      </c>
      <c r="AG5" s="38">
        <f t="shared" si="6"/>
        <v>45925</v>
      </c>
      <c r="AH5" s="38">
        <f t="shared" si="6"/>
        <v>45926</v>
      </c>
      <c r="AI5" s="38">
        <f t="shared" si="6"/>
        <v>45927</v>
      </c>
      <c r="AJ5" s="39">
        <f t="shared" si="6"/>
        <v>45928</v>
      </c>
      <c r="AK5" s="37">
        <f>AJ5+1</f>
        <v>45929</v>
      </c>
      <c r="AL5" s="38">
        <f>AK5+1</f>
        <v>45930</v>
      </c>
      <c r="AM5" s="38">
        <f t="shared" si="6"/>
        <v>45931</v>
      </c>
      <c r="AN5" s="38">
        <f t="shared" si="6"/>
        <v>45932</v>
      </c>
      <c r="AO5" s="38">
        <f t="shared" si="6"/>
        <v>45933</v>
      </c>
      <c r="AP5" s="38">
        <f t="shared" si="6"/>
        <v>45934</v>
      </c>
      <c r="AQ5" s="39">
        <f t="shared" si="6"/>
        <v>45935</v>
      </c>
      <c r="AR5" s="37">
        <f>AQ5+1</f>
        <v>45936</v>
      </c>
      <c r="AS5" s="38">
        <f>AR5+1</f>
        <v>45937</v>
      </c>
      <c r="AT5" s="38">
        <f t="shared" si="6"/>
        <v>45938</v>
      </c>
      <c r="AU5" s="38">
        <f t="shared" si="6"/>
        <v>45939</v>
      </c>
      <c r="AV5" s="38">
        <f t="shared" si="6"/>
        <v>45940</v>
      </c>
      <c r="AW5" s="38">
        <f t="shared" si="6"/>
        <v>45941</v>
      </c>
      <c r="AX5" s="39">
        <f t="shared" si="6"/>
        <v>45942</v>
      </c>
      <c r="AY5" s="37">
        <f>AX5+1</f>
        <v>45943</v>
      </c>
      <c r="AZ5" s="38">
        <f>AY5+1</f>
        <v>45944</v>
      </c>
      <c r="BA5" s="38">
        <f t="shared" ref="BA5:BE5" si="7">AZ5+1</f>
        <v>45945</v>
      </c>
      <c r="BB5" s="38">
        <f t="shared" si="7"/>
        <v>45946</v>
      </c>
      <c r="BC5" s="38">
        <f t="shared" si="7"/>
        <v>45947</v>
      </c>
      <c r="BD5" s="38">
        <f t="shared" si="7"/>
        <v>45948</v>
      </c>
      <c r="BE5" s="39">
        <f t="shared" si="7"/>
        <v>45949</v>
      </c>
      <c r="BF5" s="37">
        <f>BE5+1</f>
        <v>45950</v>
      </c>
      <c r="BG5" s="38">
        <f>BF5+1</f>
        <v>45951</v>
      </c>
      <c r="BH5" s="38">
        <f t="shared" ref="BH5:BL5" si="8">BG5+1</f>
        <v>45952</v>
      </c>
      <c r="BI5" s="38">
        <f t="shared" si="8"/>
        <v>45953</v>
      </c>
      <c r="BJ5" s="38">
        <f t="shared" si="8"/>
        <v>45954</v>
      </c>
      <c r="BK5" s="37">
        <f t="shared" si="8"/>
        <v>45955</v>
      </c>
      <c r="BL5" s="38">
        <f t="shared" si="8"/>
        <v>45956</v>
      </c>
      <c r="BM5" s="38">
        <f t="shared" ref="BM5" si="9">BL5+1</f>
        <v>45957</v>
      </c>
      <c r="BN5" s="38">
        <f t="shared" ref="BN5" si="10">BM5+1</f>
        <v>45958</v>
      </c>
      <c r="BO5" s="38">
        <f t="shared" ref="BO5:BQ5" si="11">BN5+1</f>
        <v>45959</v>
      </c>
      <c r="BP5" s="37">
        <f t="shared" si="11"/>
        <v>45960</v>
      </c>
      <c r="BQ5" s="38">
        <f t="shared" si="11"/>
        <v>45961</v>
      </c>
      <c r="BR5" s="38">
        <f t="shared" ref="BR5" si="12">BQ5+1</f>
        <v>45962</v>
      </c>
      <c r="BS5" s="38">
        <f t="shared" ref="BS5" si="13">BR5+1</f>
        <v>45963</v>
      </c>
      <c r="BT5" s="38">
        <f t="shared" ref="BT5:BV5" si="14">BS5+1</f>
        <v>45964</v>
      </c>
      <c r="BU5" s="37">
        <f t="shared" si="14"/>
        <v>45965</v>
      </c>
      <c r="BV5" s="38">
        <f t="shared" si="14"/>
        <v>45966</v>
      </c>
      <c r="BW5" s="38">
        <f t="shared" ref="BW5" si="15">BV5+1</f>
        <v>45967</v>
      </c>
      <c r="BX5" s="38">
        <f t="shared" ref="BX5" si="16">BW5+1</f>
        <v>45968</v>
      </c>
      <c r="BY5" s="38">
        <f t="shared" ref="BY5:CA5" si="17">BX5+1</f>
        <v>45969</v>
      </c>
      <c r="BZ5" s="37">
        <f t="shared" si="17"/>
        <v>45970</v>
      </c>
      <c r="CA5" s="38">
        <f t="shared" si="17"/>
        <v>45971</v>
      </c>
      <c r="CB5" s="38">
        <f t="shared" ref="CB5" si="18">CA5+1</f>
        <v>45972</v>
      </c>
      <c r="CC5" s="38">
        <f t="shared" ref="CC5" si="19">CB5+1</f>
        <v>45973</v>
      </c>
      <c r="CD5" s="38">
        <f t="shared" ref="CD5:CF5" si="20">CC5+1</f>
        <v>45974</v>
      </c>
      <c r="CE5" s="37">
        <f t="shared" si="20"/>
        <v>45975</v>
      </c>
      <c r="CF5" s="38">
        <f t="shared" si="20"/>
        <v>45976</v>
      </c>
      <c r="CG5" s="38">
        <f t="shared" ref="CG5" si="21">CF5+1</f>
        <v>45977</v>
      </c>
      <c r="CH5" s="38">
        <f t="shared" ref="CH5" si="22">CG5+1</f>
        <v>45978</v>
      </c>
      <c r="CI5" s="38">
        <f t="shared" ref="CI5" si="23">CH5+1</f>
        <v>45979</v>
      </c>
      <c r="CJ5" s="37">
        <f>CI5+1</f>
        <v>45980</v>
      </c>
      <c r="CK5" s="38">
        <f>CJ5+1</f>
        <v>45981</v>
      </c>
      <c r="CL5" s="38">
        <f t="shared" ref="CL5" si="24">CK5+1</f>
        <v>45982</v>
      </c>
      <c r="CM5" s="38">
        <f t="shared" ref="CM5" si="25">CL5+1</f>
        <v>45983</v>
      </c>
      <c r="CN5" s="38">
        <f t="shared" ref="CN5" si="26">CM5+1</f>
        <v>45984</v>
      </c>
      <c r="CO5" s="37">
        <f t="shared" ref="CO5" si="27">CN5+1</f>
        <v>45985</v>
      </c>
      <c r="CP5" s="38">
        <f t="shared" ref="CP5" si="28">CO5+1</f>
        <v>45986</v>
      </c>
      <c r="CQ5" s="38">
        <f t="shared" ref="CQ5" si="29">CP5+1</f>
        <v>45987</v>
      </c>
      <c r="CR5" s="38">
        <f t="shared" ref="CR5" si="30">CQ5+1</f>
        <v>45988</v>
      </c>
      <c r="CS5" s="38">
        <f t="shared" ref="CS5" si="31">CR5+1</f>
        <v>45989</v>
      </c>
    </row>
    <row r="6" spans="1:97" ht="30" customHeight="1" thickBot="1" x14ac:dyDescent="0.3">
      <c r="A6" s="24" t="s">
        <v>5</v>
      </c>
      <c r="B6" s="8" t="s">
        <v>14</v>
      </c>
      <c r="C6" s="9" t="s">
        <v>18</v>
      </c>
      <c r="D6" s="9" t="s">
        <v>19</v>
      </c>
      <c r="E6" s="9" t="s">
        <v>20</v>
      </c>
      <c r="F6" s="9" t="s">
        <v>21</v>
      </c>
      <c r="G6" s="9"/>
      <c r="H6" s="9" t="s">
        <v>22</v>
      </c>
      <c r="I6" s="10" t="str">
        <f t="shared" ref="I6" si="32">LEFT(TEXT(I5,"ddd"),1)</f>
        <v>l</v>
      </c>
      <c r="J6" s="10" t="str">
        <f t="shared" ref="J6:AR6" si="33">LEFT(TEXT(J5,"ddd"),1)</f>
        <v>m</v>
      </c>
      <c r="K6" s="10" t="str">
        <f t="shared" si="33"/>
        <v>m</v>
      </c>
      <c r="L6" s="10" t="str">
        <f t="shared" si="33"/>
        <v>j</v>
      </c>
      <c r="M6" s="10" t="str">
        <f t="shared" si="33"/>
        <v>v</v>
      </c>
      <c r="N6" s="10" t="str">
        <f t="shared" si="33"/>
        <v>s</v>
      </c>
      <c r="O6" s="10" t="str">
        <f t="shared" si="33"/>
        <v>d</v>
      </c>
      <c r="P6" s="10" t="str">
        <f t="shared" si="33"/>
        <v>l</v>
      </c>
      <c r="Q6" s="10" t="str">
        <f t="shared" si="33"/>
        <v>m</v>
      </c>
      <c r="R6" s="10" t="str">
        <f t="shared" si="33"/>
        <v>m</v>
      </c>
      <c r="S6" s="10" t="str">
        <f t="shared" si="33"/>
        <v>j</v>
      </c>
      <c r="T6" s="10" t="str">
        <f t="shared" si="33"/>
        <v>v</v>
      </c>
      <c r="U6" s="10" t="str">
        <f t="shared" si="33"/>
        <v>s</v>
      </c>
      <c r="V6" s="10" t="str">
        <f t="shared" si="33"/>
        <v>d</v>
      </c>
      <c r="W6" s="10" t="str">
        <f t="shared" si="33"/>
        <v>l</v>
      </c>
      <c r="X6" s="10" t="str">
        <f t="shared" si="33"/>
        <v>m</v>
      </c>
      <c r="Y6" s="10" t="str">
        <f t="shared" si="33"/>
        <v>m</v>
      </c>
      <c r="Z6" s="10" t="str">
        <f t="shared" si="33"/>
        <v>j</v>
      </c>
      <c r="AA6" s="10" t="str">
        <f t="shared" si="33"/>
        <v>v</v>
      </c>
      <c r="AB6" s="10" t="str">
        <f t="shared" si="33"/>
        <v>s</v>
      </c>
      <c r="AC6" s="10" t="str">
        <f t="shared" si="33"/>
        <v>d</v>
      </c>
      <c r="AD6" s="10" t="str">
        <f t="shared" si="33"/>
        <v>l</v>
      </c>
      <c r="AE6" s="10" t="str">
        <f t="shared" si="33"/>
        <v>m</v>
      </c>
      <c r="AF6" s="10" t="str">
        <f t="shared" si="33"/>
        <v>m</v>
      </c>
      <c r="AG6" s="10" t="str">
        <f t="shared" si="33"/>
        <v>j</v>
      </c>
      <c r="AH6" s="10" t="str">
        <f t="shared" si="33"/>
        <v>v</v>
      </c>
      <c r="AI6" s="10" t="str">
        <f t="shared" si="33"/>
        <v>s</v>
      </c>
      <c r="AJ6" s="10" t="str">
        <f t="shared" si="33"/>
        <v>d</v>
      </c>
      <c r="AK6" s="10" t="str">
        <f t="shared" si="33"/>
        <v>l</v>
      </c>
      <c r="AL6" s="10" t="str">
        <f t="shared" si="33"/>
        <v>m</v>
      </c>
      <c r="AM6" s="10" t="str">
        <f t="shared" si="33"/>
        <v>m</v>
      </c>
      <c r="AN6" s="10" t="str">
        <f t="shared" si="33"/>
        <v>j</v>
      </c>
      <c r="AO6" s="10" t="str">
        <f t="shared" si="33"/>
        <v>v</v>
      </c>
      <c r="AP6" s="10" t="str">
        <f t="shared" si="33"/>
        <v>s</v>
      </c>
      <c r="AQ6" s="10" t="str">
        <f t="shared" si="33"/>
        <v>d</v>
      </c>
      <c r="AR6" s="10" t="str">
        <f t="shared" si="33"/>
        <v>l</v>
      </c>
      <c r="AS6" s="10" t="str">
        <f t="shared" ref="AS6:BJ6" si="34">LEFT(TEXT(AS5,"ddd"),1)</f>
        <v>m</v>
      </c>
      <c r="AT6" s="10" t="str">
        <f t="shared" si="34"/>
        <v>m</v>
      </c>
      <c r="AU6" s="10" t="str">
        <f t="shared" si="34"/>
        <v>j</v>
      </c>
      <c r="AV6" s="10" t="str">
        <f t="shared" si="34"/>
        <v>v</v>
      </c>
      <c r="AW6" s="10" t="str">
        <f t="shared" si="34"/>
        <v>s</v>
      </c>
      <c r="AX6" s="10" t="str">
        <f t="shared" si="34"/>
        <v>d</v>
      </c>
      <c r="AY6" s="10" t="str">
        <f t="shared" si="34"/>
        <v>l</v>
      </c>
      <c r="AZ6" s="10" t="str">
        <f t="shared" si="34"/>
        <v>m</v>
      </c>
      <c r="BA6" s="10" t="str">
        <f t="shared" si="34"/>
        <v>m</v>
      </c>
      <c r="BB6" s="10" t="str">
        <f t="shared" si="34"/>
        <v>j</v>
      </c>
      <c r="BC6" s="10" t="str">
        <f t="shared" si="34"/>
        <v>v</v>
      </c>
      <c r="BD6" s="10" t="str">
        <f t="shared" si="34"/>
        <v>s</v>
      </c>
      <c r="BE6" s="10" t="str">
        <f t="shared" si="34"/>
        <v>d</v>
      </c>
      <c r="BF6" s="10" t="str">
        <f t="shared" si="34"/>
        <v>l</v>
      </c>
      <c r="BG6" s="10" t="str">
        <f t="shared" si="34"/>
        <v>m</v>
      </c>
      <c r="BH6" s="10" t="str">
        <f t="shared" si="34"/>
        <v>m</v>
      </c>
      <c r="BI6" s="10" t="str">
        <f t="shared" si="34"/>
        <v>j</v>
      </c>
      <c r="BJ6" s="10" t="str">
        <f t="shared" si="34"/>
        <v>v</v>
      </c>
      <c r="BK6" s="10" t="str">
        <f t="shared" ref="BK6:CN6" si="35">LEFT(TEXT(BK5,"ddd"),1)</f>
        <v>s</v>
      </c>
      <c r="BL6" s="10" t="str">
        <f t="shared" si="35"/>
        <v>d</v>
      </c>
      <c r="BM6" s="10" t="str">
        <f t="shared" si="35"/>
        <v>l</v>
      </c>
      <c r="BN6" s="10" t="str">
        <f t="shared" si="35"/>
        <v>m</v>
      </c>
      <c r="BO6" s="10" t="str">
        <f t="shared" si="35"/>
        <v>m</v>
      </c>
      <c r="BP6" s="10" t="str">
        <f t="shared" si="35"/>
        <v>j</v>
      </c>
      <c r="BQ6" s="10" t="str">
        <f t="shared" si="35"/>
        <v>v</v>
      </c>
      <c r="BR6" s="10" t="str">
        <f t="shared" si="35"/>
        <v>s</v>
      </c>
      <c r="BS6" s="10" t="str">
        <f t="shared" si="35"/>
        <v>d</v>
      </c>
      <c r="BT6" s="10" t="str">
        <f t="shared" si="35"/>
        <v>l</v>
      </c>
      <c r="BU6" s="10" t="str">
        <f t="shared" si="35"/>
        <v>m</v>
      </c>
      <c r="BV6" s="10" t="str">
        <f t="shared" si="35"/>
        <v>m</v>
      </c>
      <c r="BW6" s="10" t="str">
        <f t="shared" si="35"/>
        <v>j</v>
      </c>
      <c r="BX6" s="10" t="str">
        <f t="shared" si="35"/>
        <v>v</v>
      </c>
      <c r="BY6" s="10" t="str">
        <f t="shared" si="35"/>
        <v>s</v>
      </c>
      <c r="BZ6" s="10" t="str">
        <f t="shared" si="35"/>
        <v>d</v>
      </c>
      <c r="CA6" s="10" t="str">
        <f t="shared" si="35"/>
        <v>l</v>
      </c>
      <c r="CB6" s="10" t="str">
        <f t="shared" si="35"/>
        <v>m</v>
      </c>
      <c r="CC6" s="10" t="str">
        <f t="shared" si="35"/>
        <v>m</v>
      </c>
      <c r="CD6" s="10" t="str">
        <f t="shared" si="35"/>
        <v>j</v>
      </c>
      <c r="CE6" s="10" t="str">
        <f t="shared" si="35"/>
        <v>v</v>
      </c>
      <c r="CF6" s="10" t="str">
        <f t="shared" si="35"/>
        <v>s</v>
      </c>
      <c r="CG6" s="10" t="str">
        <f t="shared" si="35"/>
        <v>d</v>
      </c>
      <c r="CH6" s="10" t="str">
        <f t="shared" si="35"/>
        <v>l</v>
      </c>
      <c r="CI6" s="10" t="str">
        <f t="shared" si="35"/>
        <v>m</v>
      </c>
      <c r="CJ6" s="10" t="str">
        <f t="shared" si="35"/>
        <v>m</v>
      </c>
      <c r="CK6" s="10" t="str">
        <f t="shared" si="35"/>
        <v>j</v>
      </c>
      <c r="CL6" s="10" t="str">
        <f t="shared" si="35"/>
        <v>v</v>
      </c>
      <c r="CM6" s="10" t="str">
        <f t="shared" si="35"/>
        <v>s</v>
      </c>
      <c r="CN6" s="10" t="str">
        <f t="shared" si="35"/>
        <v>d</v>
      </c>
      <c r="CO6" s="10" t="str">
        <f t="shared" ref="CO6:CS6" si="36">LEFT(TEXT(CO5,"ddd"),1)</f>
        <v>l</v>
      </c>
      <c r="CP6" s="10" t="str">
        <f t="shared" si="36"/>
        <v>m</v>
      </c>
      <c r="CQ6" s="10" t="str">
        <f t="shared" si="36"/>
        <v>m</v>
      </c>
      <c r="CR6" s="10" t="str">
        <f t="shared" si="36"/>
        <v>j</v>
      </c>
      <c r="CS6" s="10" t="str">
        <f t="shared" si="36"/>
        <v>v</v>
      </c>
    </row>
    <row r="7" spans="1:97" ht="30" hidden="1" customHeight="1" thickBot="1" x14ac:dyDescent="0.3">
      <c r="A7" s="23" t="s">
        <v>6</v>
      </c>
      <c r="C7" s="26"/>
      <c r="E7"/>
      <c r="H7" t="str">
        <f>IF(OR(ISBLANK(task_start),ISBLANK(task_end)),"",task_end-task_start+1)</f>
        <v/>
      </c>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row>
    <row r="8" spans="1:97" s="3" customFormat="1" ht="30" customHeight="1" thickTop="1" thickBot="1" x14ac:dyDescent="0.3">
      <c r="A8" s="24" t="s">
        <v>7</v>
      </c>
      <c r="B8" s="42" t="s">
        <v>31</v>
      </c>
      <c r="C8" s="41"/>
      <c r="D8" s="41"/>
      <c r="E8" s="41"/>
      <c r="F8" s="41"/>
      <c r="G8" s="14"/>
      <c r="H8" s="14" t="str">
        <f t="shared" ref="H8:H62" si="37">IF(OR(ISBLANK(task_start),ISBLANK(task_end)),"",task_end-task_start+1)</f>
        <v/>
      </c>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row>
    <row r="9" spans="1:97" s="3" customFormat="1" ht="30" customHeight="1" thickTop="1" thickBot="1" x14ac:dyDescent="0.3">
      <c r="A9" s="24" t="s">
        <v>8</v>
      </c>
      <c r="B9" s="43" t="s">
        <v>38</v>
      </c>
      <c r="C9" s="44" t="s">
        <v>32</v>
      </c>
      <c r="D9" s="45">
        <v>1</v>
      </c>
      <c r="E9" s="46">
        <f>Inicio_del_proyecto</f>
        <v>45901</v>
      </c>
      <c r="F9" s="46">
        <f>E9+1</f>
        <v>45902</v>
      </c>
      <c r="G9" s="14"/>
      <c r="H9" s="14">
        <f t="shared" si="37"/>
        <v>2</v>
      </c>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row>
    <row r="10" spans="1:97" s="3" customFormat="1" ht="30" customHeight="1" thickTop="1" thickBot="1" x14ac:dyDescent="0.3">
      <c r="A10" s="24"/>
      <c r="B10" s="43" t="s">
        <v>37</v>
      </c>
      <c r="C10" s="44" t="s">
        <v>32</v>
      </c>
      <c r="D10" s="45">
        <v>1</v>
      </c>
      <c r="E10" s="46">
        <f>F9+1</f>
        <v>45903</v>
      </c>
      <c r="F10" s="46">
        <f>E10+1</f>
        <v>45904</v>
      </c>
      <c r="G10" s="14"/>
      <c r="H10" s="14"/>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row>
    <row r="11" spans="1:97" s="3" customFormat="1" ht="30" customHeight="1" thickTop="1" thickBot="1" x14ac:dyDescent="0.3">
      <c r="A11" s="24"/>
      <c r="B11" s="43" t="s">
        <v>36</v>
      </c>
      <c r="C11" s="44" t="s">
        <v>32</v>
      </c>
      <c r="D11" s="45">
        <v>1</v>
      </c>
      <c r="E11" s="46">
        <f>F10+1</f>
        <v>45905</v>
      </c>
      <c r="F11" s="46">
        <f>E11+1</f>
        <v>45906</v>
      </c>
      <c r="G11" s="14"/>
      <c r="H11" s="14"/>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row>
    <row r="12" spans="1:97" s="3" customFormat="1" ht="30" customHeight="1" thickTop="1" thickBot="1" x14ac:dyDescent="0.3">
      <c r="A12" s="24"/>
      <c r="B12" s="43" t="s">
        <v>35</v>
      </c>
      <c r="C12" s="44" t="s">
        <v>32</v>
      </c>
      <c r="D12" s="45">
        <v>1</v>
      </c>
      <c r="E12" s="46">
        <f>F11+1</f>
        <v>45907</v>
      </c>
      <c r="F12" s="46">
        <f>E12+1</f>
        <v>45908</v>
      </c>
      <c r="G12" s="14"/>
      <c r="H12" s="14"/>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row>
    <row r="13" spans="1:97" s="3" customFormat="1" ht="30" customHeight="1" thickTop="1" thickBot="1" x14ac:dyDescent="0.3">
      <c r="A13" s="24"/>
      <c r="B13" s="68" t="s">
        <v>25</v>
      </c>
      <c r="C13" s="69"/>
      <c r="D13" s="70"/>
      <c r="E13" s="71"/>
      <c r="F13" s="71"/>
      <c r="G13" s="14"/>
      <c r="H13" s="14"/>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row>
    <row r="14" spans="1:97" s="3" customFormat="1" ht="30" customHeight="1" thickTop="1" thickBot="1" x14ac:dyDescent="0.3">
      <c r="A14" s="24" t="s">
        <v>9</v>
      </c>
      <c r="B14" s="82" t="s">
        <v>39</v>
      </c>
      <c r="C14" s="72" t="s">
        <v>33</v>
      </c>
      <c r="D14" s="74">
        <v>1</v>
      </c>
      <c r="E14" s="83">
        <f>F12+1</f>
        <v>45909</v>
      </c>
      <c r="F14" s="83">
        <f>E14+1</f>
        <v>45910</v>
      </c>
      <c r="G14" s="14"/>
      <c r="H14" s="14">
        <f t="shared" si="37"/>
        <v>2</v>
      </c>
      <c r="I14" s="19"/>
      <c r="J14" s="19"/>
      <c r="K14" s="19"/>
      <c r="L14" s="19"/>
      <c r="M14" s="19"/>
      <c r="N14" s="19"/>
      <c r="O14" s="19"/>
      <c r="P14" s="19"/>
      <c r="Q14" s="19"/>
      <c r="R14" s="19"/>
      <c r="S14" s="19"/>
      <c r="T14" s="19"/>
      <c r="U14" s="20"/>
      <c r="V14" s="20"/>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row>
    <row r="15" spans="1:97" s="3" customFormat="1" ht="30" customHeight="1" thickTop="1" thickBot="1" x14ac:dyDescent="0.3">
      <c r="A15" s="23"/>
      <c r="B15" s="73" t="s">
        <v>40</v>
      </c>
      <c r="C15" s="72" t="s">
        <v>32</v>
      </c>
      <c r="D15" s="74">
        <v>1</v>
      </c>
      <c r="E15" s="75">
        <f>F14+1</f>
        <v>45911</v>
      </c>
      <c r="F15" s="75">
        <f>E15+2</f>
        <v>45913</v>
      </c>
      <c r="G15" s="14"/>
      <c r="H15" s="14">
        <f t="shared" si="37"/>
        <v>3</v>
      </c>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row>
    <row r="16" spans="1:97" s="3" customFormat="1" ht="30" customHeight="1" thickTop="1" thickBot="1" x14ac:dyDescent="0.3">
      <c r="A16" s="23"/>
      <c r="B16" s="73" t="s">
        <v>41</v>
      </c>
      <c r="C16" s="72" t="s">
        <v>34</v>
      </c>
      <c r="D16" s="74">
        <v>1</v>
      </c>
      <c r="E16" s="75">
        <f>F15+1</f>
        <v>45914</v>
      </c>
      <c r="F16" s="75">
        <f>E16+2</f>
        <v>45916</v>
      </c>
      <c r="G16" s="14"/>
      <c r="H16" s="14">
        <f t="shared" si="37"/>
        <v>3</v>
      </c>
      <c r="I16" s="19"/>
      <c r="J16" s="19"/>
      <c r="K16" s="19"/>
      <c r="L16" s="19"/>
      <c r="M16" s="19"/>
      <c r="N16" s="19"/>
      <c r="O16" s="19"/>
      <c r="P16" s="19"/>
      <c r="Q16" s="19"/>
      <c r="R16" s="19"/>
      <c r="S16" s="19"/>
      <c r="T16" s="19"/>
      <c r="U16" s="19"/>
      <c r="V16" s="19"/>
      <c r="W16" s="19"/>
      <c r="X16" s="19"/>
      <c r="Y16" s="20"/>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row>
    <row r="17" spans="1:97" s="3" customFormat="1" ht="30" customHeight="1" thickTop="1" thickBot="1" x14ac:dyDescent="0.3">
      <c r="A17" s="23"/>
      <c r="B17" s="73" t="s">
        <v>42</v>
      </c>
      <c r="C17" s="72" t="s">
        <v>34</v>
      </c>
      <c r="D17" s="74">
        <v>1</v>
      </c>
      <c r="E17" s="75">
        <f>F16+1</f>
        <v>45917</v>
      </c>
      <c r="F17" s="75">
        <f>E17+2</f>
        <v>45919</v>
      </c>
      <c r="G17" s="14"/>
      <c r="H17" s="14">
        <f t="shared" si="37"/>
        <v>3</v>
      </c>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row>
    <row r="18" spans="1:97" s="3" customFormat="1" ht="30" customHeight="1" thickTop="1" thickBot="1" x14ac:dyDescent="0.3">
      <c r="A18" s="23"/>
      <c r="B18" s="65" t="s">
        <v>30</v>
      </c>
      <c r="C18" s="66" t="s">
        <v>32</v>
      </c>
      <c r="D18" s="67"/>
      <c r="E18" s="67"/>
      <c r="F18" s="67"/>
      <c r="G18" s="14"/>
      <c r="H18" s="14"/>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row>
    <row r="19" spans="1:97" s="3" customFormat="1" ht="30" customHeight="1" thickTop="1" thickBot="1" x14ac:dyDescent="0.3">
      <c r="A19" s="23"/>
      <c r="B19" s="60" t="s">
        <v>43</v>
      </c>
      <c r="C19" s="61" t="s">
        <v>33</v>
      </c>
      <c r="D19" s="62">
        <v>0.01</v>
      </c>
      <c r="E19" s="63">
        <f>F17+1</f>
        <v>45920</v>
      </c>
      <c r="F19" s="63">
        <f>E19+3</f>
        <v>45923</v>
      </c>
      <c r="G19" s="14"/>
      <c r="H19" s="14"/>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row>
    <row r="20" spans="1:97" s="3" customFormat="1" ht="30" customHeight="1" thickTop="1" thickBot="1" x14ac:dyDescent="0.3">
      <c r="A20" s="24" t="s">
        <v>10</v>
      </c>
      <c r="B20" s="60" t="s">
        <v>44</v>
      </c>
      <c r="C20" s="61" t="s">
        <v>32</v>
      </c>
      <c r="D20" s="62">
        <v>0.01</v>
      </c>
      <c r="E20" s="63">
        <f>F19+1</f>
        <v>45924</v>
      </c>
      <c r="F20" s="63">
        <f>E20+2</f>
        <v>45926</v>
      </c>
      <c r="G20" s="14"/>
      <c r="H20" s="14">
        <f t="shared" si="37"/>
        <v>3</v>
      </c>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row>
    <row r="21" spans="1:97" s="3" customFormat="1" ht="30" customHeight="1" thickTop="1" thickBot="1" x14ac:dyDescent="0.3">
      <c r="A21" s="24"/>
      <c r="B21" s="76" t="s">
        <v>45</v>
      </c>
      <c r="C21" s="61" t="s">
        <v>32</v>
      </c>
      <c r="D21" s="62">
        <v>0.01</v>
      </c>
      <c r="E21" s="64">
        <f>F20+1</f>
        <v>45927</v>
      </c>
      <c r="F21" s="64">
        <f>E21+2</f>
        <v>45929</v>
      </c>
      <c r="G21" s="14"/>
      <c r="H21" s="14">
        <f t="shared" si="37"/>
        <v>3</v>
      </c>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row>
    <row r="22" spans="1:97" s="3" customFormat="1" ht="30" customHeight="1" thickTop="1" thickBot="1" x14ac:dyDescent="0.3">
      <c r="A22" s="23"/>
      <c r="B22" s="60" t="s">
        <v>46</v>
      </c>
      <c r="C22" s="61" t="s">
        <v>34</v>
      </c>
      <c r="D22" s="62">
        <v>0.01</v>
      </c>
      <c r="E22" s="63">
        <f>F21+1</f>
        <v>45930</v>
      </c>
      <c r="F22" s="63">
        <f>E22+2</f>
        <v>45932</v>
      </c>
      <c r="G22" s="14"/>
      <c r="H22" s="14">
        <f t="shared" si="37"/>
        <v>3</v>
      </c>
      <c r="I22" s="19"/>
      <c r="J22" s="19"/>
      <c r="K22" s="19"/>
      <c r="L22" s="19"/>
      <c r="M22" s="19"/>
      <c r="N22" s="19"/>
      <c r="O22" s="19"/>
      <c r="P22" s="19"/>
      <c r="Q22" s="19"/>
      <c r="R22" s="19"/>
      <c r="S22" s="19"/>
      <c r="T22" s="19"/>
      <c r="U22" s="20"/>
      <c r="V22" s="20"/>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row>
    <row r="23" spans="1:97" s="3" customFormat="1" ht="30" customHeight="1" thickTop="1" thickBot="1" x14ac:dyDescent="0.3">
      <c r="A23" s="23"/>
      <c r="B23" s="60" t="s">
        <v>47</v>
      </c>
      <c r="C23" s="61" t="s">
        <v>34</v>
      </c>
      <c r="D23" s="62">
        <v>0.01</v>
      </c>
      <c r="E23" s="63">
        <f>F22+1</f>
        <v>45933</v>
      </c>
      <c r="F23" s="63">
        <f>E23+2</f>
        <v>45935</v>
      </c>
      <c r="G23" s="14"/>
      <c r="H23" s="14">
        <f t="shared" si="37"/>
        <v>3</v>
      </c>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row>
    <row r="24" spans="1:97" s="3" customFormat="1" ht="30" customHeight="1" thickTop="1" thickBot="1" x14ac:dyDescent="0.3">
      <c r="A24" s="23"/>
      <c r="B24" s="60" t="s">
        <v>48</v>
      </c>
      <c r="C24" s="61" t="s">
        <v>33</v>
      </c>
      <c r="D24" s="62">
        <v>0.01</v>
      </c>
      <c r="E24" s="64">
        <f>F23+1</f>
        <v>45936</v>
      </c>
      <c r="F24" s="64">
        <f>E24+3</f>
        <v>45939</v>
      </c>
      <c r="G24" s="14"/>
      <c r="H24" s="14">
        <f t="shared" si="37"/>
        <v>4</v>
      </c>
      <c r="I24" s="19"/>
      <c r="J24" s="19"/>
      <c r="K24" s="19"/>
      <c r="L24" s="19"/>
      <c r="M24" s="19"/>
      <c r="N24" s="19"/>
      <c r="O24" s="19"/>
      <c r="P24" s="19"/>
      <c r="Q24" s="19"/>
      <c r="R24" s="19"/>
      <c r="S24" s="19"/>
      <c r="T24" s="19"/>
      <c r="U24" s="19"/>
      <c r="V24" s="19"/>
      <c r="W24" s="19"/>
      <c r="X24" s="19"/>
      <c r="Y24" s="20"/>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row>
    <row r="25" spans="1:97" s="3" customFormat="1" ht="30" customHeight="1" thickTop="1" thickBot="1" x14ac:dyDescent="0.3">
      <c r="A25" s="23"/>
      <c r="B25" s="60" t="s">
        <v>49</v>
      </c>
      <c r="C25" s="61" t="s">
        <v>32</v>
      </c>
      <c r="D25" s="62">
        <v>0.01</v>
      </c>
      <c r="E25" s="63">
        <f t="shared" ref="E23:E28" si="38">F24+1</f>
        <v>45940</v>
      </c>
      <c r="F25" s="63">
        <f>E25+2</f>
        <v>45942</v>
      </c>
      <c r="G25" s="14"/>
      <c r="H25" s="14">
        <f t="shared" si="37"/>
        <v>3</v>
      </c>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row>
    <row r="26" spans="1:97" s="3" customFormat="1" ht="30" customHeight="1" thickTop="1" thickBot="1" x14ac:dyDescent="0.3">
      <c r="A26" s="23" t="s">
        <v>11</v>
      </c>
      <c r="B26" s="60" t="s">
        <v>50</v>
      </c>
      <c r="C26" s="61" t="s">
        <v>32</v>
      </c>
      <c r="D26" s="62">
        <v>0.01</v>
      </c>
      <c r="E26" s="63">
        <f t="shared" si="38"/>
        <v>45943</v>
      </c>
      <c r="F26" s="63">
        <f>E26+2</f>
        <v>45945</v>
      </c>
      <c r="G26" s="14"/>
      <c r="H26" s="14">
        <f t="shared" si="37"/>
        <v>3</v>
      </c>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row>
    <row r="27" spans="1:97" s="3" customFormat="1" ht="30" customHeight="1" thickTop="1" thickBot="1" x14ac:dyDescent="0.3">
      <c r="A27" s="23"/>
      <c r="B27" s="60" t="s">
        <v>51</v>
      </c>
      <c r="C27" s="61" t="s">
        <v>34</v>
      </c>
      <c r="D27" s="62">
        <v>0.01</v>
      </c>
      <c r="E27" s="64">
        <f t="shared" si="38"/>
        <v>45946</v>
      </c>
      <c r="F27" s="64">
        <f>E27+2</f>
        <v>45948</v>
      </c>
      <c r="G27" s="14"/>
      <c r="H27" s="14">
        <f t="shared" si="37"/>
        <v>3</v>
      </c>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row>
    <row r="28" spans="1:97" s="3" customFormat="1" ht="30" customHeight="1" thickTop="1" thickBot="1" x14ac:dyDescent="0.3">
      <c r="A28" s="23"/>
      <c r="B28" s="60" t="s">
        <v>52</v>
      </c>
      <c r="C28" s="61" t="s">
        <v>34</v>
      </c>
      <c r="D28" s="62">
        <v>0.01</v>
      </c>
      <c r="E28" s="63">
        <f t="shared" si="38"/>
        <v>45949</v>
      </c>
      <c r="F28" s="63">
        <f>E28+2</f>
        <v>45951</v>
      </c>
      <c r="G28" s="14"/>
      <c r="H28" s="14"/>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row>
    <row r="29" spans="1:97" s="3" customFormat="1" ht="30" customHeight="1" thickTop="1" thickBot="1" x14ac:dyDescent="0.3">
      <c r="A29" s="23"/>
      <c r="B29" s="76" t="s">
        <v>53</v>
      </c>
      <c r="C29" s="61" t="s">
        <v>33</v>
      </c>
      <c r="D29" s="62">
        <v>0.01</v>
      </c>
      <c r="E29" s="63">
        <f>F28+1</f>
        <v>45952</v>
      </c>
      <c r="F29" s="63">
        <f>E29+2</f>
        <v>45954</v>
      </c>
      <c r="G29" s="14"/>
      <c r="H29" s="14"/>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row>
    <row r="30" spans="1:97" s="3" customFormat="1" ht="30" customHeight="1" thickTop="1" thickBot="1" x14ac:dyDescent="0.3">
      <c r="A30" s="23"/>
      <c r="B30" s="60" t="s">
        <v>54</v>
      </c>
      <c r="C30" s="61" t="s">
        <v>32</v>
      </c>
      <c r="D30" s="62">
        <v>0.01</v>
      </c>
      <c r="E30" s="63">
        <f>F29+1</f>
        <v>45955</v>
      </c>
      <c r="F30" s="63">
        <f>E30+1</f>
        <v>45956</v>
      </c>
      <c r="G30" s="14"/>
      <c r="H30" s="14"/>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row>
    <row r="31" spans="1:97" s="3" customFormat="1" ht="30" customHeight="1" thickTop="1" thickBot="1" x14ac:dyDescent="0.3">
      <c r="A31" s="23"/>
      <c r="B31" s="60" t="s">
        <v>55</v>
      </c>
      <c r="C31" s="61" t="s">
        <v>34</v>
      </c>
      <c r="D31" s="62">
        <v>0.01</v>
      </c>
      <c r="E31" s="63">
        <f>F30+1</f>
        <v>45957</v>
      </c>
      <c r="F31" s="63">
        <f>E31+1</f>
        <v>45958</v>
      </c>
      <c r="G31" s="14"/>
      <c r="H31" s="14"/>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row>
    <row r="32" spans="1:97" s="3" customFormat="1" ht="30" customHeight="1" thickTop="1" thickBot="1" x14ac:dyDescent="0.3">
      <c r="A32" s="23"/>
      <c r="B32" s="60" t="s">
        <v>52</v>
      </c>
      <c r="C32" s="61" t="s">
        <v>34</v>
      </c>
      <c r="D32" s="62">
        <v>0.01</v>
      </c>
      <c r="E32" s="63">
        <f>F31+1</f>
        <v>45959</v>
      </c>
      <c r="F32" s="63">
        <f>E32+1</f>
        <v>45960</v>
      </c>
      <c r="G32" s="14"/>
      <c r="H32" s="14"/>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row>
    <row r="33" spans="1:97" s="3" customFormat="1" ht="30" customHeight="1" thickTop="1" thickBot="1" x14ac:dyDescent="0.3">
      <c r="A33" s="23"/>
      <c r="B33" s="60" t="s">
        <v>56</v>
      </c>
      <c r="C33" s="61" t="s">
        <v>33</v>
      </c>
      <c r="D33" s="62">
        <v>0.01</v>
      </c>
      <c r="E33" s="63">
        <f>F32+1</f>
        <v>45961</v>
      </c>
      <c r="F33" s="63">
        <f>E33+1</f>
        <v>45962</v>
      </c>
      <c r="G33" s="14"/>
      <c r="H33" s="14"/>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row>
    <row r="34" spans="1:97" s="3" customFormat="1" ht="30" customHeight="1" thickTop="1" thickBot="1" x14ac:dyDescent="0.3">
      <c r="A34" s="23"/>
      <c r="B34" s="76" t="s">
        <v>57</v>
      </c>
      <c r="C34" s="61" t="s">
        <v>32</v>
      </c>
      <c r="D34" s="62">
        <v>0.01</v>
      </c>
      <c r="E34" s="64">
        <f>F33+1</f>
        <v>45963</v>
      </c>
      <c r="F34" s="64">
        <f>E34+2</f>
        <v>45965</v>
      </c>
      <c r="G34" s="14"/>
      <c r="H34" s="14">
        <f t="shared" si="37"/>
        <v>3</v>
      </c>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row>
    <row r="35" spans="1:97" s="3" customFormat="1" ht="30" customHeight="1" thickTop="1" thickBot="1" x14ac:dyDescent="0.3">
      <c r="A35" s="23"/>
      <c r="B35" s="60" t="s">
        <v>58</v>
      </c>
      <c r="C35" s="61" t="s">
        <v>34</v>
      </c>
      <c r="D35" s="62">
        <v>0.01</v>
      </c>
      <c r="E35" s="63">
        <f>F34+1</f>
        <v>45966</v>
      </c>
      <c r="F35" s="63">
        <f>E35+2</f>
        <v>45968</v>
      </c>
      <c r="G35" s="14"/>
      <c r="H35" s="14">
        <f t="shared" si="37"/>
        <v>3</v>
      </c>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row>
    <row r="36" spans="1:97" s="3" customFormat="1" ht="30" customHeight="1" thickTop="1" thickBot="1" x14ac:dyDescent="0.3">
      <c r="A36" s="23"/>
      <c r="B36" s="60" t="s">
        <v>52</v>
      </c>
      <c r="C36" s="61" t="s">
        <v>34</v>
      </c>
      <c r="D36" s="62">
        <v>0.01</v>
      </c>
      <c r="E36" s="63">
        <f>F35+1</f>
        <v>45969</v>
      </c>
      <c r="F36" s="63">
        <f>E36+1</f>
        <v>45970</v>
      </c>
      <c r="G36" s="14"/>
      <c r="H36" s="14"/>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row>
    <row r="37" spans="1:97" s="3" customFormat="1" ht="30" customHeight="1" thickTop="1" thickBot="1" x14ac:dyDescent="0.3">
      <c r="A37" s="23"/>
      <c r="B37" s="48" t="s">
        <v>26</v>
      </c>
      <c r="C37" s="49"/>
      <c r="D37" s="47"/>
      <c r="E37" s="47"/>
      <c r="F37" s="47"/>
      <c r="G37" s="14"/>
      <c r="H37" s="14" t="str">
        <f t="shared" si="37"/>
        <v/>
      </c>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row>
    <row r="38" spans="1:97" s="3" customFormat="1" ht="30" customHeight="1" thickTop="1" thickBot="1" x14ac:dyDescent="0.3">
      <c r="A38" s="23"/>
      <c r="B38" s="56" t="s">
        <v>59</v>
      </c>
      <c r="C38" s="57" t="s">
        <v>33</v>
      </c>
      <c r="D38" s="58">
        <v>0.01</v>
      </c>
      <c r="E38" s="59">
        <f>F36+1</f>
        <v>45971</v>
      </c>
      <c r="F38" s="59">
        <f>E38+2</f>
        <v>45973</v>
      </c>
      <c r="G38" s="14"/>
      <c r="H38" s="14"/>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row>
    <row r="39" spans="1:97" s="3" customFormat="1" ht="30" customHeight="1" thickTop="1" thickBot="1" x14ac:dyDescent="0.3">
      <c r="A39" s="23"/>
      <c r="B39" s="56" t="s">
        <v>60</v>
      </c>
      <c r="C39" s="57" t="s">
        <v>33</v>
      </c>
      <c r="D39" s="58">
        <v>0.01</v>
      </c>
      <c r="E39" s="59">
        <f>F38+1</f>
        <v>45974</v>
      </c>
      <c r="F39" s="59">
        <f>E39+2</f>
        <v>45976</v>
      </c>
      <c r="G39" s="14"/>
      <c r="H39" s="14"/>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row>
    <row r="40" spans="1:97" s="3" customFormat="1" ht="30" customHeight="1" thickTop="1" thickBot="1" x14ac:dyDescent="0.3">
      <c r="A40" s="23"/>
      <c r="B40" s="56" t="s">
        <v>61</v>
      </c>
      <c r="C40" s="57" t="s">
        <v>32</v>
      </c>
      <c r="D40" s="58">
        <v>0.01</v>
      </c>
      <c r="E40" s="59">
        <f t="shared" ref="E38:E40" si="39">F39+1</f>
        <v>45977</v>
      </c>
      <c r="F40" s="59">
        <f>E40+2</f>
        <v>45979</v>
      </c>
      <c r="G40" s="14"/>
      <c r="H40" s="14"/>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row>
    <row r="41" spans="1:97" s="3" customFormat="1" ht="16.5" thickTop="1" thickBot="1" x14ac:dyDescent="0.3">
      <c r="A41" s="23"/>
      <c r="B41" s="77"/>
      <c r="C41" s="78"/>
      <c r="D41" s="79"/>
      <c r="E41" s="80"/>
      <c r="F41" s="80"/>
      <c r="G41" s="14"/>
      <c r="H41" s="14"/>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row>
    <row r="42" spans="1:97" s="3" customFormat="1" ht="41.25" customHeight="1" thickTop="1" thickBot="1" x14ac:dyDescent="0.3">
      <c r="A42" s="23"/>
      <c r="B42" s="77"/>
      <c r="C42" s="78"/>
      <c r="D42" s="79"/>
      <c r="E42" s="80"/>
      <c r="F42" s="80"/>
      <c r="G42" s="14"/>
      <c r="H42" s="14"/>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row>
    <row r="43" spans="1:97" s="3" customFormat="1" ht="30" customHeight="1" thickTop="1" thickBot="1" x14ac:dyDescent="0.3">
      <c r="A43" s="23"/>
      <c r="B43" s="77"/>
      <c r="C43" s="78"/>
      <c r="D43" s="79"/>
      <c r="E43" s="80"/>
      <c r="F43" s="80"/>
      <c r="G43" s="14"/>
      <c r="H43" s="14"/>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row>
    <row r="44" spans="1:97" s="3" customFormat="1" ht="30" customHeight="1" thickTop="1" thickBot="1" x14ac:dyDescent="0.3">
      <c r="A44" s="23"/>
      <c r="B44" s="77"/>
      <c r="C44" s="78"/>
      <c r="D44" s="79"/>
      <c r="E44" s="80"/>
      <c r="F44" s="80"/>
      <c r="G44" s="14"/>
      <c r="H44" s="14"/>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row>
    <row r="45" spans="1:97" s="3" customFormat="1" ht="30" customHeight="1" thickTop="1" thickBot="1" x14ac:dyDescent="0.3">
      <c r="A45" s="23"/>
      <c r="B45" s="77"/>
      <c r="C45" s="78"/>
      <c r="D45" s="79"/>
      <c r="E45" s="80"/>
      <c r="F45" s="80"/>
      <c r="G45" s="14"/>
      <c r="H45" s="14"/>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row>
    <row r="46" spans="1:97" s="3" customFormat="1" ht="30" customHeight="1" thickTop="1" thickBot="1" x14ac:dyDescent="0.3">
      <c r="A46" s="23"/>
      <c r="B46" s="77"/>
      <c r="C46" s="78"/>
      <c r="D46" s="79"/>
      <c r="E46" s="80"/>
      <c r="F46" s="80"/>
      <c r="G46" s="14"/>
      <c r="H46" s="14"/>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row>
    <row r="47" spans="1:97" s="3" customFormat="1" ht="30" customHeight="1" thickTop="1" thickBot="1" x14ac:dyDescent="0.3">
      <c r="A47" s="23"/>
      <c r="B47" s="77"/>
      <c r="C47" s="78"/>
      <c r="D47" s="79"/>
      <c r="E47" s="80"/>
      <c r="F47" s="80"/>
      <c r="G47" s="14"/>
      <c r="H47" s="14"/>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row>
    <row r="48" spans="1:97" s="3" customFormat="1" ht="30" customHeight="1" thickTop="1" thickBot="1" x14ac:dyDescent="0.3">
      <c r="A48" s="23"/>
      <c r="B48" s="77"/>
      <c r="C48" s="78"/>
      <c r="D48" s="79"/>
      <c r="E48" s="80"/>
      <c r="F48" s="80"/>
      <c r="G48" s="14"/>
      <c r="H48" s="14"/>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row>
    <row r="49" spans="1:97" s="3" customFormat="1" ht="30" customHeight="1" thickTop="1" thickBot="1" x14ac:dyDescent="0.3">
      <c r="A49" s="23"/>
      <c r="B49" s="77"/>
      <c r="C49" s="78"/>
      <c r="D49" s="79"/>
      <c r="E49" s="80"/>
      <c r="F49" s="80"/>
      <c r="G49" s="14"/>
      <c r="H49" s="14"/>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row>
    <row r="50" spans="1:97" s="3" customFormat="1" ht="30" customHeight="1" thickTop="1" thickBot="1" x14ac:dyDescent="0.3">
      <c r="A50" s="23"/>
      <c r="B50" s="77"/>
      <c r="C50" s="78"/>
      <c r="D50" s="79"/>
      <c r="E50" s="80"/>
      <c r="F50" s="80"/>
      <c r="G50" s="14"/>
      <c r="H50" s="14" t="str">
        <f t="shared" si="37"/>
        <v/>
      </c>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row>
    <row r="51" spans="1:97" s="3" customFormat="1" ht="30" customHeight="1" thickTop="1" thickBot="1" x14ac:dyDescent="0.3">
      <c r="A51" s="23"/>
      <c r="B51" s="77"/>
      <c r="C51" s="78"/>
      <c r="D51" s="79"/>
      <c r="E51" s="80"/>
      <c r="F51" s="80"/>
      <c r="G51" s="14"/>
      <c r="H51" s="14"/>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row>
    <row r="52" spans="1:97" s="3" customFormat="1" ht="30" customHeight="1" thickTop="1" thickBot="1" x14ac:dyDescent="0.3">
      <c r="A52" s="23" t="s">
        <v>11</v>
      </c>
      <c r="B52" s="77"/>
      <c r="C52" s="78"/>
      <c r="D52" s="79"/>
      <c r="E52" s="80"/>
      <c r="F52" s="80"/>
      <c r="G52" s="14"/>
      <c r="H52" s="14" t="str">
        <f t="shared" si="37"/>
        <v/>
      </c>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row>
    <row r="53" spans="1:97" s="3" customFormat="1" ht="30" customHeight="1" thickTop="1" thickBot="1" x14ac:dyDescent="0.3">
      <c r="A53" s="23"/>
      <c r="B53" s="81"/>
      <c r="C53" s="78"/>
      <c r="D53" s="77"/>
      <c r="E53" s="77"/>
      <c r="F53" s="77"/>
      <c r="G53" s="14"/>
      <c r="H53" s="14" t="str">
        <f t="shared" si="37"/>
        <v/>
      </c>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row>
    <row r="54" spans="1:97" s="3" customFormat="1" ht="30" customHeight="1" thickTop="1" thickBot="1" x14ac:dyDescent="0.3">
      <c r="A54" s="23"/>
      <c r="B54" s="77"/>
      <c r="C54" s="78"/>
      <c r="D54" s="79"/>
      <c r="E54" s="80"/>
      <c r="F54" s="80"/>
      <c r="G54" s="14"/>
      <c r="H54" s="14" t="str">
        <f t="shared" si="37"/>
        <v/>
      </c>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row>
    <row r="55" spans="1:97" s="3" customFormat="1" ht="30" customHeight="1" thickTop="1" thickBot="1" x14ac:dyDescent="0.3">
      <c r="A55" s="23"/>
      <c r="B55" s="77"/>
      <c r="C55" s="78"/>
      <c r="D55" s="79"/>
      <c r="E55" s="80"/>
      <c r="F55" s="80"/>
      <c r="G55" s="14"/>
      <c r="H55" s="14"/>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row>
    <row r="56" spans="1:97" s="3" customFormat="1" ht="30" customHeight="1" thickTop="1" thickBot="1" x14ac:dyDescent="0.3">
      <c r="A56" s="23"/>
      <c r="B56" s="77"/>
      <c r="C56" s="78"/>
      <c r="D56" s="79"/>
      <c r="E56" s="80"/>
      <c r="F56" s="80"/>
      <c r="G56" s="14"/>
      <c r="H56" s="14"/>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row>
    <row r="57" spans="1:97" s="3" customFormat="1" ht="30" customHeight="1" thickTop="1" thickBot="1" x14ac:dyDescent="0.3">
      <c r="A57" s="23"/>
      <c r="B57" s="77"/>
      <c r="C57" s="78"/>
      <c r="D57" s="79"/>
      <c r="E57" s="80"/>
      <c r="F57" s="80"/>
      <c r="G57" s="14"/>
      <c r="H57" s="14"/>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row>
    <row r="58" spans="1:97" s="3" customFormat="1" ht="30" customHeight="1" thickTop="1" thickBot="1" x14ac:dyDescent="0.3">
      <c r="A58" s="23"/>
      <c r="B58" s="77"/>
      <c r="C58" s="78"/>
      <c r="D58" s="79"/>
      <c r="E58" s="80"/>
      <c r="F58" s="80"/>
      <c r="G58" s="14"/>
      <c r="H58" s="14"/>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row>
    <row r="59" spans="1:97" s="3" customFormat="1" ht="30" customHeight="1" thickTop="1" thickBot="1" x14ac:dyDescent="0.3">
      <c r="A59" s="23"/>
      <c r="B59" s="77"/>
      <c r="C59" s="78"/>
      <c r="D59" s="79"/>
      <c r="E59" s="80"/>
      <c r="F59" s="80"/>
      <c r="G59" s="14"/>
      <c r="H59" s="14" t="str">
        <f t="shared" si="37"/>
        <v/>
      </c>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row>
    <row r="60" spans="1:97" s="3" customFormat="1" ht="30" customHeight="1" thickTop="1" thickBot="1" x14ac:dyDescent="0.3">
      <c r="A60" s="23"/>
      <c r="B60" s="77"/>
      <c r="C60" s="78"/>
      <c r="D60" s="79"/>
      <c r="E60" s="80"/>
      <c r="F60" s="80"/>
      <c r="G60" s="14"/>
      <c r="H60" s="14" t="str">
        <f t="shared" si="37"/>
        <v/>
      </c>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row>
    <row r="61" spans="1:97" s="3" customFormat="1" ht="30" customHeight="1" thickTop="1" thickBot="1" x14ac:dyDescent="0.3">
      <c r="A61" s="23" t="s">
        <v>12</v>
      </c>
      <c r="B61" s="31"/>
      <c r="C61" s="30"/>
      <c r="D61" s="13"/>
      <c r="E61" s="40"/>
      <c r="F61" s="40"/>
      <c r="G61" s="14"/>
      <c r="H61" s="14" t="str">
        <f t="shared" si="37"/>
        <v/>
      </c>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row>
    <row r="62" spans="1:97" s="3" customFormat="1" ht="30" customHeight="1" thickBot="1" x14ac:dyDescent="0.3">
      <c r="A62" s="24" t="s">
        <v>13</v>
      </c>
      <c r="B62" s="15" t="s">
        <v>15</v>
      </c>
      <c r="C62" s="16"/>
      <c r="D62" s="17"/>
      <c r="E62" s="35"/>
      <c r="F62" s="36"/>
      <c r="G62" s="18"/>
      <c r="H62" s="18" t="str">
        <f t="shared" si="37"/>
        <v/>
      </c>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row>
    <row r="63" spans="1:97" ht="30" customHeight="1" x14ac:dyDescent="0.25">
      <c r="G63" s="6"/>
    </row>
    <row r="64" spans="1:97" ht="30" customHeight="1" x14ac:dyDescent="0.25">
      <c r="C64" s="11"/>
      <c r="F64" s="25"/>
    </row>
    <row r="65" spans="3:3" ht="30" customHeight="1" x14ac:dyDescent="0.25">
      <c r="C65" s="12"/>
    </row>
  </sheetData>
  <mergeCells count="18">
    <mergeCell ref="BF4:BJ4"/>
    <mergeCell ref="E3:F3"/>
    <mergeCell ref="I4:O4"/>
    <mergeCell ref="P4:V4"/>
    <mergeCell ref="W4:AC4"/>
    <mergeCell ref="AD4:AJ4"/>
    <mergeCell ref="C3:D3"/>
    <mergeCell ref="C4:D4"/>
    <mergeCell ref="AK4:AQ4"/>
    <mergeCell ref="AR4:AX4"/>
    <mergeCell ref="AY4:BE4"/>
    <mergeCell ref="BZ4:CD4"/>
    <mergeCell ref="CE4:CI4"/>
    <mergeCell ref="CJ4:CN4"/>
    <mergeCell ref="CO4:CS4"/>
    <mergeCell ref="BK4:BO4"/>
    <mergeCell ref="BP4:BT4"/>
    <mergeCell ref="BU4:BY4"/>
  </mergeCells>
  <conditionalFormatting sqref="D61:D62 D7">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I62 BK5:BN62 BP5:BS62 BU5:BX62 BZ5:CC62 CE5:CH62 CJ5:CM62 CO5:CR62">
    <cfRule type="expression" dxfId="4" priority="33">
      <formula>AND(TODAY()&gt;=I$5,TODAY()&lt;J$5)</formula>
    </cfRule>
  </conditionalFormatting>
  <conditionalFormatting sqref="I7:BI62 BK7:BN62 BP7:BS62 BU7:BX62 BZ7:CC62 CE7:CH62 CJ7:CM62 CO7:CR62">
    <cfRule type="expression" dxfId="3" priority="28" stopIfTrue="1">
      <formula>AND(task_end&gt;=I$5,task_start&lt;J$5)</formula>
    </cfRule>
  </conditionalFormatting>
  <conditionalFormatting sqref="I7:CS62">
    <cfRule type="expression" dxfId="2" priority="27">
      <formula>AND(task_start&lt;=I$5,ROUNDDOWN((task_end-task_start+1)*task_progress,0)+task_start-1&gt;=I$5)</formula>
    </cfRule>
  </conditionalFormatting>
  <conditionalFormatting sqref="BJ5:BJ62 BO5:BO62 BT5:BT62 BY5:BY62 CD5:CD62 CI5:CI62 CN5:CN62 CS5:CS62">
    <cfRule type="expression" dxfId="1" priority="35">
      <formula>AND(TODAY()&gt;=BJ$5,TODAY()&lt;#REF!)</formula>
    </cfRule>
  </conditionalFormatting>
  <conditionalFormatting sqref="BJ7:BJ62 BO7:BO62 BT7:BT62 BY7:BY62 CD7:CD62 CI7:CI62 CN7:CN62 CS7:CS62">
    <cfRule type="expression" dxfId="0" priority="39" stopIfTrue="1">
      <formula>AND(task_end&gt;=BJ$5,task_start&lt;#REF!)</formula>
    </cfRule>
  </conditionalFormatting>
  <dataValidations disablePrompts="1"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0" fitToHeight="0" orientation="landscape" r:id="rId3"/>
  <headerFooter differentFirst="1" scaleWithDoc="0">
    <oddFooter>Page &amp;P of &amp;N</oddFooter>
  </headerFooter>
  <ignoredErrors>
    <ignoredError sqref="E31 F24"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D61:D62 D7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CartaGantt</vt:lpstr>
      <vt:lpstr>Inicio_del_proyecto</vt:lpstr>
      <vt:lpstr>Semana_para_mostrar</vt:lpstr>
      <vt:lpstr>CartaGantt!task_end</vt:lpstr>
      <vt:lpstr>CartaGantt!task_progress</vt:lpstr>
      <vt:lpstr>CartaGantt!task_start</vt:lpstr>
      <vt:lpstr>CartaGantt!Títulos_a_imprimir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2025-09-29T04:36:58Z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